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proyectos\polleria\entregables_excel\"/>
    </mc:Choice>
  </mc:AlternateContent>
  <xr:revisionPtr revIDLastSave="0" documentId="8_{CC0F8DEB-89D8-4272-86EA-941D119844CA}" xr6:coauthVersionLast="47" xr6:coauthVersionMax="47" xr10:uidLastSave="{00000000-0000-0000-0000-000000000000}"/>
  <bookViews>
    <workbookView xWindow="-108" yWindow="-108" windowWidth="23256" windowHeight="12456" xr2:uid="{2CD48490-8B1E-4592-9B17-D9442A3F283C}"/>
  </bookViews>
  <sheets>
    <sheet name="diagrama gantt 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U3" i="1" l="1"/>
  <c r="BT3" i="1"/>
  <c r="BS3" i="1"/>
  <c r="BR3" i="1"/>
  <c r="BQ3" i="1"/>
  <c r="BP3" i="1"/>
  <c r="BO3" i="1"/>
  <c r="BN3" i="1"/>
  <c r="BM3" i="1"/>
  <c r="BL3" i="1"/>
  <c r="BK3" i="1"/>
  <c r="BJ3" i="1"/>
  <c r="BI3" i="1"/>
  <c r="BH3" i="1"/>
  <c r="BG3" i="1"/>
  <c r="BF3" i="1"/>
  <c r="BE3" i="1"/>
  <c r="BD3" i="1"/>
  <c r="BC3" i="1"/>
  <c r="BB3" i="1"/>
  <c r="BA3" i="1"/>
  <c r="AZ3" i="1"/>
  <c r="AY3" i="1"/>
  <c r="AX3" i="1"/>
  <c r="AW3" i="1"/>
  <c r="AV3" i="1"/>
  <c r="AU3" i="1"/>
  <c r="AT3" i="1"/>
  <c r="AS3" i="1"/>
  <c r="AR3" i="1"/>
  <c r="AQ3" i="1"/>
  <c r="AP3" i="1"/>
  <c r="AO3" i="1"/>
  <c r="AN3" i="1"/>
  <c r="AM3" i="1"/>
  <c r="AL3" i="1"/>
  <c r="AK3" i="1"/>
  <c r="AJ3" i="1"/>
  <c r="AI3" i="1"/>
  <c r="AH3" i="1"/>
  <c r="AG3" i="1"/>
  <c r="AF3" i="1"/>
  <c r="AE3" i="1"/>
  <c r="AD3" i="1"/>
  <c r="AC3" i="1"/>
  <c r="AB3" i="1"/>
  <c r="AA3" i="1"/>
  <c r="Z3" i="1"/>
  <c r="Y3" i="1"/>
  <c r="X3" i="1"/>
  <c r="W3" i="1"/>
  <c r="V3" i="1"/>
  <c r="U3" i="1"/>
  <c r="T3" i="1"/>
  <c r="S3" i="1"/>
  <c r="R3" i="1"/>
  <c r="Q3" i="1"/>
  <c r="P3" i="1"/>
  <c r="O3" i="1"/>
  <c r="N3" i="1"/>
  <c r="M3" i="1"/>
  <c r="L3" i="1"/>
  <c r="K3" i="1"/>
  <c r="J3" i="1"/>
  <c r="I3" i="1"/>
  <c r="H3" i="1"/>
  <c r="D100" i="1"/>
</calcChain>
</file>

<file path=xl/sharedStrings.xml><?xml version="1.0" encoding="utf-8"?>
<sst xmlns="http://schemas.openxmlformats.org/spreadsheetml/2006/main" count="269" uniqueCount="115">
  <si>
    <t>ID</t>
  </si>
  <si>
    <t>Nombre de Tarea</t>
  </si>
  <si>
    <t>Duracion</t>
  </si>
  <si>
    <t>Comienzo</t>
  </si>
  <si>
    <t>Fin</t>
  </si>
  <si>
    <t>Predece</t>
  </si>
  <si>
    <t>Responsables</t>
  </si>
  <si>
    <t>FASE 1: PLANIFICACIÓN Y ANÁLISIS</t>
  </si>
  <si>
    <t>8 d</t>
  </si>
  <si>
    <t>—</t>
  </si>
  <si>
    <t>Mijail</t>
  </si>
  <si>
    <t>Búsqueda y selección del restaurante en la zona</t>
  </si>
  <si>
    <t>1 d</t>
  </si>
  <si>
    <t>Mijail, Nilton</t>
  </si>
  <si>
    <t>Primer contacto y coordinación con el dueño</t>
  </si>
  <si>
    <t>Técnica 1: Entrevista a profundidad con el dueño</t>
  </si>
  <si>
    <t>Técnica 2: Observación de la atención en el local</t>
  </si>
  <si>
    <t>Nilton</t>
  </si>
  <si>
    <t>Revisión de comandas de papel y boletas</t>
  </si>
  <si>
    <t>Definición de usuarios: Mozo, Cocinero, Caja</t>
  </si>
  <si>
    <t>Lista de necesidades del restaurante (Backlog)</t>
  </si>
  <si>
    <t>2 d</t>
  </si>
  <si>
    <t>Detalle de funciones del sistema (RF-01 al 15)</t>
  </si>
  <si>
    <t>Requisitos de seguridad y velocidad del sistema</t>
  </si>
  <si>
    <t>Evaluación técnica de herramientas y servidor</t>
  </si>
  <si>
    <t>Cálculo de costos y rentabilidad (TIR y VAN)</t>
  </si>
  <si>
    <t>Ajuste final del cronograma de 66 días</t>
  </si>
  <si>
    <t>Aprobación del documento con el dueño</t>
  </si>
  <si>
    <t>FASE 2: DISEÑO DE ARQUITECTURA Y PROTOTIPADO</t>
  </si>
  <si>
    <t>9 d</t>
  </si>
  <si>
    <t>Diagramas del uso del sistema por cada rol</t>
  </si>
  <si>
    <t>Diseño de bocetos de las pantallas</t>
  </si>
  <si>
    <t>Diseño del modelo de datos para el restaurante</t>
  </si>
  <si>
    <t>Creación de tablas en la base de datos</t>
  </si>
  <si>
    <t>Diagrama de estructura interna del sistema</t>
  </si>
  <si>
    <t>Diagrama de cómo se comunican las partes</t>
  </si>
  <si>
    <t>Diagrama del paso a paso del cobro con QR</t>
  </si>
  <si>
    <t>Plano de conexión de red e impresoras</t>
  </si>
  <si>
    <t>Manual descriptivo de los datos almacenados</t>
  </si>
  <si>
    <t>Diseño visual del menú digital para celular</t>
  </si>
  <si>
    <t>Diseño visual de las pantallas de mozo y caja</t>
  </si>
  <si>
    <t>Presentación de pantallas de ejemplo al dueño</t>
  </si>
  <si>
    <t>FASE 3: DESARROLLO CICLO 1 (CORE Y SALÓN)</t>
  </si>
  <si>
    <t>18 d</t>
  </si>
  <si>
    <t>Preparación del entorno de programación</t>
  </si>
  <si>
    <t>Configuración del servidor en la nube</t>
  </si>
  <si>
    <t>Conexión del programa con la base de datos</t>
  </si>
  <si>
    <t>Registro de la carta de pollos y precios</t>
  </si>
  <si>
    <t>Inicio de sesión seguro para mozos y cajero</t>
  </si>
  <si>
    <t>Pantalla para ver el estado de las 10 mesas</t>
  </si>
  <si>
    <t>Opción para unir mesas o cambiar de mesa</t>
  </si>
  <si>
    <t>Pantalla del menú digital con fotos de platos</t>
  </si>
  <si>
    <t>Opción obligatoria: Elegir Pecho o Pierna</t>
  </si>
  <si>
    <t>Opción de cambio de papas o ensalada</t>
  </si>
  <si>
    <t>Aviso en tiempo real cuando llega un pedido</t>
  </si>
  <si>
    <t>Botón en el celular para llamar al mozo</t>
  </si>
  <si>
    <t>Control de porciones (1 pollo = 4 cuartos)</t>
  </si>
  <si>
    <t>Revisión y pruebas de la toma de pedidos</t>
  </si>
  <si>
    <t>FASE 4: DESARROLLO CICLO 2 (HARDWARE Y SUNAT)</t>
  </si>
  <si>
    <t>16 d</t>
  </si>
  <si>
    <t>Diseño del ticket impreso con letra grande</t>
  </si>
  <si>
    <t>Impresora con sonido de alerta para cocina</t>
  </si>
  <si>
    <t>Apertura de turno de caja con dinero inicial</t>
  </si>
  <si>
    <t>Cobro rápido para pedidos para llevar</t>
  </si>
  <si>
    <t>Cobro con Yape y Plin mediante código</t>
  </si>
  <si>
    <t>Confirmación automática del pago en pantalla</t>
  </si>
  <si>
    <t>Búsqueda automática de nombre por DNI o RUC</t>
  </si>
  <si>
    <t>Emisión de boletas y facturas electrónicas</t>
  </si>
  <si>
    <t>Impresión del código QR de SUNAT en ticket</t>
  </si>
  <si>
    <t>Opción para dividir la cuenta entre amigos</t>
  </si>
  <si>
    <t>Cierre de caja diario y reporte de ventas</t>
  </si>
  <si>
    <t>Pedidos a domicilio y cálculo de vuelto</t>
  </si>
  <si>
    <t>Botón para marcar platos agotados al instante</t>
  </si>
  <si>
    <t>Registro de pollos quemados o devueltos</t>
  </si>
  <si>
    <t>Prueba completa de pantallas e impresoras</t>
  </si>
  <si>
    <t>FASE 5: PRUEBAS Y ASEGURAMIENTO CALIDAD (QA)</t>
  </si>
  <si>
    <t>10 d</t>
  </si>
  <si>
    <t>Plan de pruebas del sistema</t>
  </si>
  <si>
    <t>Lista de casos y situaciones a probar</t>
  </si>
  <si>
    <t>Pruebas de cobros y cálculo de vueltos</t>
  </si>
  <si>
    <t>Pruebas de la alarma sonora en cocina</t>
  </si>
  <si>
    <t>Prueba de varios pedidos al mismo tiempo</t>
  </si>
  <si>
    <t>Prueba de funcionamiento sin internet</t>
  </si>
  <si>
    <t>Prueba de respaldo ante corte de luz</t>
  </si>
  <si>
    <t>Lista de errores encontrados para corregir</t>
  </si>
  <si>
    <t>Corrección de los errores detectados</t>
  </si>
  <si>
    <t>Segunda revisión para verificar correcciones</t>
  </si>
  <si>
    <t>Pruebas del sistema con el dueño y mozos</t>
  </si>
  <si>
    <t>Cliente / Dueño</t>
  </si>
  <si>
    <t>FASE 6: DESPLIEGUE Y CIERRE EN LOCAL</t>
  </si>
  <si>
    <t>5 d</t>
  </si>
  <si>
    <t>Instalación de la computadora de caja</t>
  </si>
  <si>
    <t>Instalación de la red y WiFi del local</t>
  </si>
  <si>
    <t>Puesta en marcha del sistema en internet</t>
  </si>
  <si>
    <t>Instalación de impresora con alarma en cocina</t>
  </si>
  <si>
    <t>Colocación de códigos QR en las 10 mesas</t>
  </si>
  <si>
    <t>Manual de uso sencillo para mozos (PDF)</t>
  </si>
  <si>
    <t>Manual técnico y copias de seguridad</t>
  </si>
  <si>
    <t>Enseñanza del uso del sistema al cocinero</t>
  </si>
  <si>
    <t>Enseñanza de cobros y cierre de caja</t>
  </si>
  <si>
    <t>Enseñanza del uso de tablets a los mozos</t>
  </si>
  <si>
    <t>Firma de conformidad con el dueño</t>
  </si>
  <si>
    <t>Hito</t>
  </si>
  <si>
    <t>Entrega final del proyecto terminado</t>
  </si>
  <si>
    <t>Feriados No Laborables Excluidos (Puerto Maldonado):</t>
  </si>
  <si>
    <t>Combate de Angamos (Nacional)</t>
  </si>
  <si>
    <t>Dia de Todos los Santos (Nacional)</t>
  </si>
  <si>
    <t>Inmaculada Concepcion (Nacional)</t>
  </si>
  <si>
    <t>Batalla de Ayacucho (Nacional)</t>
  </si>
  <si>
    <t>Navidad (Nacional)</t>
  </si>
  <si>
    <t>Duracion Total Efectiva:</t>
  </si>
  <si>
    <t>SEPTIEMBRE 2026</t>
  </si>
  <si>
    <t>OCTUBRE 2026</t>
  </si>
  <si>
    <t>NOVIEMBRE 2026</t>
  </si>
  <si>
    <t>DICIEMBRE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</si>
</sst>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dd/mm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9E6C8"/>
        <bgColor indexed="64"/>
      </patternFill>
    </fill>
    <fill>
      <patternFill patternType="solid">
        <fgColor rgb="FFE0E0E0"/>
        <bgColor indexed="64"/>
      </patternFill>
    </fill>
    <fill>
      <patternFill patternType="solid">
        <fgColor rgb="FFC8CCD7"/>
        <bgColor indexed="64"/>
      </patternFill>
    </fill>
    <fill>
      <patternFill patternType="solid">
        <fgColor rgb="FFDCD8CF"/>
        <bgColor indexed="64"/>
      </patternFill>
    </fill>
    <fill>
      <patternFill patternType="solid">
        <fgColor rgb="FF327D2E"/>
        <bgColor indexed="64"/>
      </patternFill>
    </fill>
  </fills>
  <borders count="9">
    <border>
      <left/>
      <right/>
      <top/>
      <bottom/>
      <diagonal/>
    </border>
    <border>
      <left style="thin">
        <color rgb="FFD0D0D0"/>
      </left>
      <right/>
      <top/>
      <bottom/>
      <diagonal/>
    </border>
    <border>
      <left style="thin">
        <color rgb="FFD0D0D0"/>
      </left>
      <right/>
      <top style="thin">
        <color rgb="FFD0D0D0"/>
      </top>
      <bottom/>
      <diagonal/>
    </border>
    <border>
      <left/>
      <right/>
      <top style="thin">
        <color rgb="FFD0D0D0"/>
      </top>
      <bottom/>
      <diagonal/>
    </border>
    <border>
      <left style="thin">
        <color rgb="FFD0D0D0"/>
      </left>
      <right/>
      <top/>
      <bottom style="thin">
        <color rgb="FFD0D0D0"/>
      </bottom>
      <diagonal/>
    </border>
    <border>
      <left/>
      <right/>
      <top/>
      <bottom style="thin">
        <color rgb="FFD0D0D0"/>
      </bottom>
      <diagonal/>
    </border>
    <border>
      <left/>
      <right style="thin">
        <color rgb="FFD0D0D0"/>
      </right>
      <top style="thin">
        <color rgb="FFD0D0D0"/>
      </top>
      <bottom/>
      <diagonal/>
    </border>
    <border>
      <left/>
      <right style="thin">
        <color rgb="FFD0D0D0"/>
      </right>
      <top/>
      <bottom/>
      <diagonal/>
    </border>
    <border>
      <left/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0" borderId="0" xfId="0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Border="1"/>
    <xf numFmtId="164" fontId="0" fillId="0" borderId="0" xfId="0" applyNumberFormat="1" applyBorder="1"/>
    <xf numFmtId="0" fontId="1" fillId="2" borderId="1" xfId="0" applyFont="1" applyFill="1" applyBorder="1"/>
    <xf numFmtId="0" fontId="0" fillId="0" borderId="1" xfId="0" applyBorder="1"/>
    <xf numFmtId="0" fontId="2" fillId="6" borderId="2" xfId="0" applyFont="1" applyFill="1" applyBorder="1"/>
    <xf numFmtId="0" fontId="2" fillId="6" borderId="3" xfId="0" applyFont="1" applyFill="1" applyBorder="1"/>
    <xf numFmtId="165" fontId="0" fillId="0" borderId="3" xfId="0" applyNumberFormat="1" applyBorder="1" applyAlignment="1">
      <alignment horizontal="center"/>
    </xf>
    <xf numFmtId="0" fontId="0" fillId="0" borderId="4" xfId="0" applyBorder="1"/>
    <xf numFmtId="0" fontId="0" fillId="0" borderId="5" xfId="0" applyBorder="1"/>
    <xf numFmtId="164" fontId="0" fillId="0" borderId="5" xfId="0" applyNumberFormat="1" applyBorder="1"/>
    <xf numFmtId="165" fontId="0" fillId="0" borderId="6" xfId="0" applyNumberFormat="1" applyBorder="1" applyAlignment="1">
      <alignment horizontal="center"/>
    </xf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1">
    <dxf>
      <font>
        <color rgb="FF205E1B"/>
      </font>
      <fill>
        <patternFill>
          <bgColor rgb="FF84C78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03FE7-D73F-465F-A1BB-45679A2BFC9D}">
  <dimension ref="A1:BU112"/>
  <sheetViews>
    <sheetView tabSelected="1" workbookViewId="0"/>
  </sheetViews>
  <sheetFormatPr defaultRowHeight="14.4" x14ac:dyDescent="0.3"/>
  <cols>
    <col min="1" max="1" width="6.77734375" customWidth="1"/>
    <col min="2" max="2" width="48.77734375" customWidth="1"/>
    <col min="3" max="3" width="10.77734375" customWidth="1"/>
    <col min="4" max="5" width="12.77734375" customWidth="1"/>
    <col min="6" max="6" width="10.77734375" customWidth="1"/>
    <col min="7" max="7" width="20.77734375" customWidth="1"/>
    <col min="8" max="73" width="6.33203125" customWidth="1"/>
  </cols>
  <sheetData>
    <row r="1" spans="1:73" x14ac:dyDescent="0.3">
      <c r="H1" s="4" t="s">
        <v>111</v>
      </c>
      <c r="I1" s="4"/>
      <c r="J1" s="4"/>
      <c r="K1" s="4"/>
      <c r="L1" s="4"/>
      <c r="M1" s="4"/>
      <c r="N1" s="4"/>
      <c r="O1" s="4"/>
      <c r="P1" s="5" t="s">
        <v>112</v>
      </c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6" t="s">
        <v>113</v>
      </c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7" t="s">
        <v>114</v>
      </c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</row>
    <row r="2" spans="1:73" x14ac:dyDescent="0.3">
      <c r="H2" s="3">
        <v>1</v>
      </c>
      <c r="I2" s="3">
        <v>2</v>
      </c>
      <c r="J2" s="3">
        <v>3</v>
      </c>
      <c r="K2" s="3">
        <v>4</v>
      </c>
      <c r="L2" s="3">
        <v>5</v>
      </c>
      <c r="M2" s="3">
        <v>6</v>
      </c>
      <c r="N2" s="3">
        <v>7</v>
      </c>
      <c r="O2" s="3">
        <v>8</v>
      </c>
      <c r="P2" s="3">
        <v>9</v>
      </c>
      <c r="Q2" s="3">
        <v>10</v>
      </c>
      <c r="R2" s="3">
        <v>11</v>
      </c>
      <c r="S2" s="3">
        <v>12</v>
      </c>
      <c r="T2" s="3">
        <v>13</v>
      </c>
      <c r="U2" s="3">
        <v>14</v>
      </c>
      <c r="V2" s="3">
        <v>15</v>
      </c>
      <c r="W2" s="3">
        <v>16</v>
      </c>
      <c r="X2" s="3">
        <v>17</v>
      </c>
      <c r="Y2" s="3">
        <v>18</v>
      </c>
      <c r="Z2" s="3">
        <v>19</v>
      </c>
      <c r="AA2" s="3">
        <v>20</v>
      </c>
      <c r="AB2" s="3">
        <v>21</v>
      </c>
      <c r="AC2" s="3">
        <v>22</v>
      </c>
      <c r="AD2" s="3">
        <v>23</v>
      </c>
      <c r="AE2" s="3">
        <v>24</v>
      </c>
      <c r="AF2" s="3">
        <v>25</v>
      </c>
      <c r="AG2" s="3">
        <v>26</v>
      </c>
      <c r="AH2" s="3">
        <v>27</v>
      </c>
      <c r="AI2" s="3">
        <v>28</v>
      </c>
      <c r="AJ2" s="3">
        <v>29</v>
      </c>
      <c r="AK2" s="3">
        <v>30</v>
      </c>
      <c r="AL2" s="3">
        <v>31</v>
      </c>
      <c r="AM2" s="3">
        <v>32</v>
      </c>
      <c r="AN2" s="3">
        <v>33</v>
      </c>
      <c r="AO2" s="3">
        <v>34</v>
      </c>
      <c r="AP2" s="3">
        <v>35</v>
      </c>
      <c r="AQ2" s="3">
        <v>36</v>
      </c>
      <c r="AR2" s="3">
        <v>37</v>
      </c>
      <c r="AS2" s="3">
        <v>38</v>
      </c>
      <c r="AT2" s="3">
        <v>39</v>
      </c>
      <c r="AU2" s="3">
        <v>40</v>
      </c>
      <c r="AV2" s="3">
        <v>41</v>
      </c>
      <c r="AW2" s="3">
        <v>42</v>
      </c>
      <c r="AX2" s="3">
        <v>43</v>
      </c>
      <c r="AY2" s="3">
        <v>44</v>
      </c>
      <c r="AZ2" s="3">
        <v>45</v>
      </c>
      <c r="BA2" s="3">
        <v>46</v>
      </c>
      <c r="BB2" s="3">
        <v>47</v>
      </c>
      <c r="BC2" s="3">
        <v>48</v>
      </c>
      <c r="BD2" s="3">
        <v>49</v>
      </c>
      <c r="BE2" s="3">
        <v>50</v>
      </c>
      <c r="BF2" s="3">
        <v>51</v>
      </c>
      <c r="BG2" s="3">
        <v>52</v>
      </c>
      <c r="BH2" s="3">
        <v>53</v>
      </c>
      <c r="BI2" s="3">
        <v>54</v>
      </c>
      <c r="BJ2" s="3">
        <v>55</v>
      </c>
      <c r="BK2" s="3">
        <v>56</v>
      </c>
      <c r="BL2" s="3">
        <v>57</v>
      </c>
      <c r="BM2" s="3">
        <v>58</v>
      </c>
      <c r="BN2" s="3">
        <v>59</v>
      </c>
      <c r="BO2" s="3">
        <v>60</v>
      </c>
      <c r="BP2" s="3">
        <v>61</v>
      </c>
      <c r="BQ2" s="3">
        <v>62</v>
      </c>
      <c r="BR2" s="3">
        <v>63</v>
      </c>
      <c r="BS2" s="3">
        <v>64</v>
      </c>
      <c r="BT2" s="3">
        <v>65</v>
      </c>
      <c r="BU2" s="3">
        <v>66</v>
      </c>
    </row>
    <row r="3" spans="1:73" x14ac:dyDescent="0.3">
      <c r="A3" s="12" t="s">
        <v>0</v>
      </c>
      <c r="B3" s="13" t="s">
        <v>1</v>
      </c>
      <c r="C3" s="13" t="s">
        <v>2</v>
      </c>
      <c r="D3" s="13" t="s">
        <v>3</v>
      </c>
      <c r="E3" s="13" t="s">
        <v>4</v>
      </c>
      <c r="F3" s="13" t="s">
        <v>5</v>
      </c>
      <c r="G3" s="13" t="s">
        <v>6</v>
      </c>
      <c r="H3" s="14">
        <f>D4</f>
        <v>46286</v>
      </c>
      <c r="I3" s="14">
        <f>WORKDAY(H3, 1, $C$108:$C$114)</f>
        <v>46287</v>
      </c>
      <c r="J3" s="14">
        <f>WORKDAY(I3, 1, $C$108:$C$114)</f>
        <v>46288</v>
      </c>
      <c r="K3" s="14">
        <f>WORKDAY(J3, 1, $C$108:$C$114)</f>
        <v>46289</v>
      </c>
      <c r="L3" s="14">
        <f>WORKDAY(K3, 1, $C$108:$C$114)</f>
        <v>46290</v>
      </c>
      <c r="M3" s="14">
        <f>WORKDAY(L3, 1, $C$108:$C$114)</f>
        <v>46293</v>
      </c>
      <c r="N3" s="14">
        <f>WORKDAY(M3, 1, $C$108:$C$114)</f>
        <v>46294</v>
      </c>
      <c r="O3" s="14">
        <f>WORKDAY(N3, 1, $C$108:$C$114)</f>
        <v>46295</v>
      </c>
      <c r="P3" s="14">
        <f>WORKDAY(O3, 1, $C$108:$C$114)</f>
        <v>46296</v>
      </c>
      <c r="Q3" s="14">
        <f>WORKDAY(P3, 1, $C$108:$C$114)</f>
        <v>46297</v>
      </c>
      <c r="R3" s="14">
        <f>WORKDAY(Q3, 1, $C$108:$C$114)</f>
        <v>46300</v>
      </c>
      <c r="S3" s="14">
        <f>WORKDAY(R3, 1, $C$108:$C$114)</f>
        <v>46301</v>
      </c>
      <c r="T3" s="14">
        <f>WORKDAY(S3, 1, $C$108:$C$114)</f>
        <v>46302</v>
      </c>
      <c r="U3" s="14">
        <f>WORKDAY(T3, 1, $C$108:$C$114)</f>
        <v>46304</v>
      </c>
      <c r="V3" s="14">
        <f>WORKDAY(U3, 1, $C$108:$C$114)</f>
        <v>46307</v>
      </c>
      <c r="W3" s="14">
        <f>WORKDAY(V3, 1, $C$108:$C$114)</f>
        <v>46308</v>
      </c>
      <c r="X3" s="14">
        <f>WORKDAY(W3, 1, $C$108:$C$114)</f>
        <v>46309</v>
      </c>
      <c r="Y3" s="14">
        <f>WORKDAY(X3, 1, $C$108:$C$114)</f>
        <v>46310</v>
      </c>
      <c r="Z3" s="14">
        <f>WORKDAY(Y3, 1, $C$108:$C$114)</f>
        <v>46311</v>
      </c>
      <c r="AA3" s="14">
        <f>WORKDAY(Z3, 1, $C$108:$C$114)</f>
        <v>46314</v>
      </c>
      <c r="AB3" s="14">
        <f>WORKDAY(AA3, 1, $C$108:$C$114)</f>
        <v>46315</v>
      </c>
      <c r="AC3" s="14">
        <f>WORKDAY(AB3, 1, $C$108:$C$114)</f>
        <v>46316</v>
      </c>
      <c r="AD3" s="14">
        <f>WORKDAY(AC3, 1, $C$108:$C$114)</f>
        <v>46317</v>
      </c>
      <c r="AE3" s="14">
        <f>WORKDAY(AD3, 1, $C$108:$C$114)</f>
        <v>46318</v>
      </c>
      <c r="AF3" s="14">
        <f>WORKDAY(AE3, 1, $C$108:$C$114)</f>
        <v>46321</v>
      </c>
      <c r="AG3" s="14">
        <f>WORKDAY(AF3, 1, $C$108:$C$114)</f>
        <v>46322</v>
      </c>
      <c r="AH3" s="14">
        <f>WORKDAY(AG3, 1, $C$108:$C$114)</f>
        <v>46323</v>
      </c>
      <c r="AI3" s="14">
        <f>WORKDAY(AH3, 1, $C$108:$C$114)</f>
        <v>46324</v>
      </c>
      <c r="AJ3" s="14">
        <f>WORKDAY(AI3, 1, $C$108:$C$114)</f>
        <v>46325</v>
      </c>
      <c r="AK3" s="14">
        <f>WORKDAY(AJ3, 1, $C$108:$C$114)</f>
        <v>46328</v>
      </c>
      <c r="AL3" s="14">
        <f>WORKDAY(AK3, 1, $C$108:$C$114)</f>
        <v>46329</v>
      </c>
      <c r="AM3" s="14">
        <f>WORKDAY(AL3, 1, $C$108:$C$114)</f>
        <v>46330</v>
      </c>
      <c r="AN3" s="14">
        <f>WORKDAY(AM3, 1, $C$108:$C$114)</f>
        <v>46331</v>
      </c>
      <c r="AO3" s="14">
        <f>WORKDAY(AN3, 1, $C$108:$C$114)</f>
        <v>46332</v>
      </c>
      <c r="AP3" s="14">
        <f>WORKDAY(AO3, 1, $C$108:$C$114)</f>
        <v>46335</v>
      </c>
      <c r="AQ3" s="14">
        <f>WORKDAY(AP3, 1, $C$108:$C$114)</f>
        <v>46336</v>
      </c>
      <c r="AR3" s="14">
        <f>WORKDAY(AQ3, 1, $C$108:$C$114)</f>
        <v>46337</v>
      </c>
      <c r="AS3" s="14">
        <f>WORKDAY(AR3, 1, $C$108:$C$114)</f>
        <v>46338</v>
      </c>
      <c r="AT3" s="14">
        <f>WORKDAY(AS3, 1, $C$108:$C$114)</f>
        <v>46339</v>
      </c>
      <c r="AU3" s="14">
        <f>WORKDAY(AT3, 1, $C$108:$C$114)</f>
        <v>46342</v>
      </c>
      <c r="AV3" s="14">
        <f>WORKDAY(AU3, 1, $C$108:$C$114)</f>
        <v>46343</v>
      </c>
      <c r="AW3" s="14">
        <f>WORKDAY(AV3, 1, $C$108:$C$114)</f>
        <v>46344</v>
      </c>
      <c r="AX3" s="14">
        <f>WORKDAY(AW3, 1, $C$108:$C$114)</f>
        <v>46345</v>
      </c>
      <c r="AY3" s="14">
        <f>WORKDAY(AX3, 1, $C$108:$C$114)</f>
        <v>46346</v>
      </c>
      <c r="AZ3" s="14">
        <f>WORKDAY(AY3, 1, $C$108:$C$114)</f>
        <v>46349</v>
      </c>
      <c r="BA3" s="14">
        <f>WORKDAY(AZ3, 1, $C$108:$C$114)</f>
        <v>46350</v>
      </c>
      <c r="BB3" s="14">
        <f>WORKDAY(BA3, 1, $C$108:$C$114)</f>
        <v>46351</v>
      </c>
      <c r="BC3" s="14">
        <f>WORKDAY(BB3, 1, $C$108:$C$114)</f>
        <v>46352</v>
      </c>
      <c r="BD3" s="14">
        <f>WORKDAY(BC3, 1, $C$108:$C$114)</f>
        <v>46353</v>
      </c>
      <c r="BE3" s="14">
        <f>WORKDAY(BD3, 1, $C$108:$C$114)</f>
        <v>46356</v>
      </c>
      <c r="BF3" s="14">
        <f>WORKDAY(BE3, 1, $C$108:$C$114)</f>
        <v>46357</v>
      </c>
      <c r="BG3" s="14">
        <f>WORKDAY(BF3, 1, $C$108:$C$114)</f>
        <v>46358</v>
      </c>
      <c r="BH3" s="14">
        <f>WORKDAY(BG3, 1, $C$108:$C$114)</f>
        <v>46359</v>
      </c>
      <c r="BI3" s="14">
        <f>WORKDAY(BH3, 1, $C$108:$C$114)</f>
        <v>46360</v>
      </c>
      <c r="BJ3" s="14">
        <f>WORKDAY(BI3, 1, $C$108:$C$114)</f>
        <v>46363</v>
      </c>
      <c r="BK3" s="14">
        <f>WORKDAY(BJ3, 1, $C$108:$C$114)</f>
        <v>46366</v>
      </c>
      <c r="BL3" s="14">
        <f>WORKDAY(BK3, 1, $C$108:$C$114)</f>
        <v>46367</v>
      </c>
      <c r="BM3" s="14">
        <f>WORKDAY(BL3, 1, $C$108:$C$114)</f>
        <v>46370</v>
      </c>
      <c r="BN3" s="14">
        <f>WORKDAY(BM3, 1, $C$108:$C$114)</f>
        <v>46371</v>
      </c>
      <c r="BO3" s="14">
        <f>WORKDAY(BN3, 1, $C$108:$C$114)</f>
        <v>46372</v>
      </c>
      <c r="BP3" s="14">
        <f>WORKDAY(BO3, 1, $C$108:$C$114)</f>
        <v>46373</v>
      </c>
      <c r="BQ3" s="14">
        <f>WORKDAY(BP3, 1, $C$108:$C$114)</f>
        <v>46374</v>
      </c>
      <c r="BR3" s="14">
        <f>WORKDAY(BQ3, 1, $C$108:$C$114)</f>
        <v>46377</v>
      </c>
      <c r="BS3" s="14">
        <f>WORKDAY(BR3, 1, $C$108:$C$114)</f>
        <v>46378</v>
      </c>
      <c r="BT3" s="14">
        <f>WORKDAY(BS3, 1, $C$108:$C$114)</f>
        <v>46379</v>
      </c>
      <c r="BU3" s="18">
        <f>WORKDAY(BT3, 1, $C$108:$C$114)</f>
        <v>46380</v>
      </c>
    </row>
    <row r="4" spans="1:73" x14ac:dyDescent="0.3">
      <c r="A4" s="10">
        <v>1</v>
      </c>
      <c r="B4" s="8" t="s">
        <v>7</v>
      </c>
      <c r="C4" s="8" t="s">
        <v>8</v>
      </c>
      <c r="D4" s="9">
        <v>46286</v>
      </c>
      <c r="E4" s="9">
        <v>46295</v>
      </c>
      <c r="F4" s="8" t="s">
        <v>9</v>
      </c>
      <c r="G4" s="8" t="s">
        <v>10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19"/>
    </row>
    <row r="5" spans="1:73" x14ac:dyDescent="0.3">
      <c r="A5" s="11">
        <v>1.1000000000000001</v>
      </c>
      <c r="B5" s="8" t="s">
        <v>11</v>
      </c>
      <c r="C5" s="8" t="s">
        <v>12</v>
      </c>
      <c r="D5" s="9">
        <v>46286</v>
      </c>
      <c r="E5" s="9">
        <v>46286</v>
      </c>
      <c r="F5" s="8" t="s">
        <v>9</v>
      </c>
      <c r="G5" s="8" t="s">
        <v>13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19"/>
    </row>
    <row r="6" spans="1:73" x14ac:dyDescent="0.3">
      <c r="A6" s="11">
        <v>1.2</v>
      </c>
      <c r="B6" s="8" t="s">
        <v>14</v>
      </c>
      <c r="C6" s="8" t="s">
        <v>12</v>
      </c>
      <c r="D6" s="9">
        <v>46286</v>
      </c>
      <c r="E6" s="9">
        <v>46286</v>
      </c>
      <c r="F6" s="8">
        <v>1.1000000000000001</v>
      </c>
      <c r="G6" s="8" t="s">
        <v>10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19"/>
    </row>
    <row r="7" spans="1:73" x14ac:dyDescent="0.3">
      <c r="A7" s="11">
        <v>1.3</v>
      </c>
      <c r="B7" s="8" t="s">
        <v>15</v>
      </c>
      <c r="C7" s="8" t="s">
        <v>12</v>
      </c>
      <c r="D7" s="9">
        <v>46287</v>
      </c>
      <c r="E7" s="9">
        <v>46287</v>
      </c>
      <c r="F7" s="8">
        <v>1.2</v>
      </c>
      <c r="G7" s="8" t="s">
        <v>10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19"/>
    </row>
    <row r="8" spans="1:73" x14ac:dyDescent="0.3">
      <c r="A8" s="11">
        <v>1.4</v>
      </c>
      <c r="B8" s="8" t="s">
        <v>16</v>
      </c>
      <c r="C8" s="8" t="s">
        <v>12</v>
      </c>
      <c r="D8" s="9">
        <v>46288</v>
      </c>
      <c r="E8" s="9">
        <v>46288</v>
      </c>
      <c r="F8" s="8">
        <v>1.3</v>
      </c>
      <c r="G8" s="8" t="s">
        <v>17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19"/>
    </row>
    <row r="9" spans="1:73" x14ac:dyDescent="0.3">
      <c r="A9" s="11">
        <v>1.5</v>
      </c>
      <c r="B9" s="8" t="s">
        <v>18</v>
      </c>
      <c r="C9" s="8" t="s">
        <v>12</v>
      </c>
      <c r="D9" s="9">
        <v>46288</v>
      </c>
      <c r="E9" s="9">
        <v>46288</v>
      </c>
      <c r="F9" s="8">
        <v>1.3</v>
      </c>
      <c r="G9" s="8" t="s">
        <v>10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19"/>
    </row>
    <row r="10" spans="1:73" x14ac:dyDescent="0.3">
      <c r="A10" s="11">
        <v>1.6</v>
      </c>
      <c r="B10" s="8" t="s">
        <v>19</v>
      </c>
      <c r="C10" s="8" t="s">
        <v>12</v>
      </c>
      <c r="D10" s="9">
        <v>46289</v>
      </c>
      <c r="E10" s="9">
        <v>46289</v>
      </c>
      <c r="F10" s="8">
        <v>1.4</v>
      </c>
      <c r="G10" s="8" t="s">
        <v>17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19"/>
    </row>
    <row r="11" spans="1:73" x14ac:dyDescent="0.3">
      <c r="A11" s="11">
        <v>1.7</v>
      </c>
      <c r="B11" s="8" t="s">
        <v>20</v>
      </c>
      <c r="C11" s="8" t="s">
        <v>21</v>
      </c>
      <c r="D11" s="9">
        <v>46289</v>
      </c>
      <c r="E11" s="9">
        <v>46290</v>
      </c>
      <c r="F11" s="8">
        <v>1.6</v>
      </c>
      <c r="G11" s="8" t="s">
        <v>13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19"/>
    </row>
    <row r="12" spans="1:73" x14ac:dyDescent="0.3">
      <c r="A12" s="11">
        <v>1.8</v>
      </c>
      <c r="B12" s="8" t="s">
        <v>22</v>
      </c>
      <c r="C12" s="8" t="s">
        <v>12</v>
      </c>
      <c r="D12" s="9">
        <v>46293</v>
      </c>
      <c r="E12" s="9">
        <v>46293</v>
      </c>
      <c r="F12" s="8">
        <v>1.7</v>
      </c>
      <c r="G12" s="8" t="s">
        <v>17</v>
      </c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19"/>
    </row>
    <row r="13" spans="1:73" x14ac:dyDescent="0.3">
      <c r="A13" s="11">
        <v>1.9</v>
      </c>
      <c r="B13" s="8" t="s">
        <v>23</v>
      </c>
      <c r="C13" s="8" t="s">
        <v>12</v>
      </c>
      <c r="D13" s="9">
        <v>46293</v>
      </c>
      <c r="E13" s="9">
        <v>46293</v>
      </c>
      <c r="F13" s="8">
        <v>1.8</v>
      </c>
      <c r="G13" s="8" t="s">
        <v>17</v>
      </c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19"/>
    </row>
    <row r="14" spans="1:73" x14ac:dyDescent="0.3">
      <c r="A14" s="11">
        <v>1.1000000000000001</v>
      </c>
      <c r="B14" s="8" t="s">
        <v>24</v>
      </c>
      <c r="C14" s="8" t="s">
        <v>12</v>
      </c>
      <c r="D14" s="9">
        <v>46294</v>
      </c>
      <c r="E14" s="9">
        <v>46294</v>
      </c>
      <c r="F14" s="8">
        <v>1.8</v>
      </c>
      <c r="G14" s="8" t="s">
        <v>10</v>
      </c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19"/>
    </row>
    <row r="15" spans="1:73" x14ac:dyDescent="0.3">
      <c r="A15" s="11">
        <v>1.1100000000000001</v>
      </c>
      <c r="B15" s="8" t="s">
        <v>25</v>
      </c>
      <c r="C15" s="8" t="s">
        <v>12</v>
      </c>
      <c r="D15" s="9">
        <v>46294</v>
      </c>
      <c r="E15" s="9">
        <v>46294</v>
      </c>
      <c r="F15" s="8">
        <v>1.1000000000000001</v>
      </c>
      <c r="G15" s="8" t="s">
        <v>10</v>
      </c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19"/>
    </row>
    <row r="16" spans="1:73" x14ac:dyDescent="0.3">
      <c r="A16" s="11">
        <v>1.1200000000000001</v>
      </c>
      <c r="B16" s="8" t="s">
        <v>26</v>
      </c>
      <c r="C16" s="8" t="s">
        <v>12</v>
      </c>
      <c r="D16" s="9">
        <v>46295</v>
      </c>
      <c r="E16" s="9">
        <v>46295</v>
      </c>
      <c r="F16" s="8">
        <v>1.1100000000000001</v>
      </c>
      <c r="G16" s="8" t="s">
        <v>13</v>
      </c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19"/>
    </row>
    <row r="17" spans="1:73" x14ac:dyDescent="0.3">
      <c r="A17" s="11">
        <v>1.1299999999999999</v>
      </c>
      <c r="B17" s="8" t="s">
        <v>27</v>
      </c>
      <c r="C17" s="8" t="s">
        <v>12</v>
      </c>
      <c r="D17" s="9">
        <v>46295</v>
      </c>
      <c r="E17" s="9">
        <v>46295</v>
      </c>
      <c r="F17" s="8">
        <v>1.1200000000000001</v>
      </c>
      <c r="G17" s="8" t="s">
        <v>13</v>
      </c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19"/>
    </row>
    <row r="18" spans="1:73" x14ac:dyDescent="0.3">
      <c r="A18" s="10">
        <v>2</v>
      </c>
      <c r="B18" s="8" t="s">
        <v>28</v>
      </c>
      <c r="C18" s="8" t="s">
        <v>29</v>
      </c>
      <c r="D18" s="9">
        <v>46296</v>
      </c>
      <c r="E18" s="9">
        <v>46309</v>
      </c>
      <c r="F18" s="8">
        <v>1</v>
      </c>
      <c r="G18" s="8" t="s">
        <v>10</v>
      </c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19"/>
    </row>
    <row r="19" spans="1:73" x14ac:dyDescent="0.3">
      <c r="A19" s="11">
        <v>2.1</v>
      </c>
      <c r="B19" s="8" t="s">
        <v>30</v>
      </c>
      <c r="C19" s="8" t="s">
        <v>21</v>
      </c>
      <c r="D19" s="9">
        <v>46296</v>
      </c>
      <c r="E19" s="9">
        <v>46297</v>
      </c>
      <c r="F19" s="8">
        <v>1.1299999999999999</v>
      </c>
      <c r="G19" s="8" t="s">
        <v>17</v>
      </c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19"/>
    </row>
    <row r="20" spans="1:73" x14ac:dyDescent="0.3">
      <c r="A20" s="11">
        <v>2.2000000000000002</v>
      </c>
      <c r="B20" s="8" t="s">
        <v>31</v>
      </c>
      <c r="C20" s="8" t="s">
        <v>12</v>
      </c>
      <c r="D20" s="9">
        <v>46300</v>
      </c>
      <c r="E20" s="9">
        <v>46300</v>
      </c>
      <c r="F20" s="8">
        <v>2.1</v>
      </c>
      <c r="G20" s="8" t="s">
        <v>10</v>
      </c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19"/>
    </row>
    <row r="21" spans="1:73" x14ac:dyDescent="0.3">
      <c r="A21" s="11">
        <v>2.2999999999999998</v>
      </c>
      <c r="B21" s="8" t="s">
        <v>32</v>
      </c>
      <c r="C21" s="8" t="s">
        <v>21</v>
      </c>
      <c r="D21" s="9">
        <v>46300</v>
      </c>
      <c r="E21" s="9">
        <v>46301</v>
      </c>
      <c r="F21" s="8">
        <v>2.1</v>
      </c>
      <c r="G21" s="8" t="s">
        <v>10</v>
      </c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19"/>
    </row>
    <row r="22" spans="1:73" x14ac:dyDescent="0.3">
      <c r="A22" s="11">
        <v>2.4</v>
      </c>
      <c r="B22" s="8" t="s">
        <v>33</v>
      </c>
      <c r="C22" s="8" t="s">
        <v>12</v>
      </c>
      <c r="D22" s="9">
        <v>46302</v>
      </c>
      <c r="E22" s="9">
        <v>46302</v>
      </c>
      <c r="F22" s="8">
        <v>2.2999999999999998</v>
      </c>
      <c r="G22" s="8" t="s">
        <v>10</v>
      </c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19"/>
    </row>
    <row r="23" spans="1:73" x14ac:dyDescent="0.3">
      <c r="A23" s="11">
        <v>2.5</v>
      </c>
      <c r="B23" s="8" t="s">
        <v>34</v>
      </c>
      <c r="C23" s="8" t="s">
        <v>12</v>
      </c>
      <c r="D23" s="9">
        <v>46304</v>
      </c>
      <c r="E23" s="9">
        <v>46304</v>
      </c>
      <c r="F23" s="8">
        <v>2.4</v>
      </c>
      <c r="G23" s="8" t="s">
        <v>10</v>
      </c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19"/>
    </row>
    <row r="24" spans="1:73" x14ac:dyDescent="0.3">
      <c r="A24" s="11">
        <v>2.6</v>
      </c>
      <c r="B24" s="8" t="s">
        <v>35</v>
      </c>
      <c r="C24" s="8" t="s">
        <v>12</v>
      </c>
      <c r="D24" s="9">
        <v>46307</v>
      </c>
      <c r="E24" s="9">
        <v>46307</v>
      </c>
      <c r="F24" s="8">
        <v>2.5</v>
      </c>
      <c r="G24" s="8" t="s">
        <v>10</v>
      </c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19"/>
    </row>
    <row r="25" spans="1:73" x14ac:dyDescent="0.3">
      <c r="A25" s="11">
        <v>2.7</v>
      </c>
      <c r="B25" s="8" t="s">
        <v>36</v>
      </c>
      <c r="C25" s="8" t="s">
        <v>12</v>
      </c>
      <c r="D25" s="9">
        <v>46307</v>
      </c>
      <c r="E25" s="9">
        <v>46307</v>
      </c>
      <c r="F25" s="8">
        <v>2.6</v>
      </c>
      <c r="G25" s="8" t="s">
        <v>17</v>
      </c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19"/>
    </row>
    <row r="26" spans="1:73" x14ac:dyDescent="0.3">
      <c r="A26" s="11">
        <v>2.8</v>
      </c>
      <c r="B26" s="8" t="s">
        <v>37</v>
      </c>
      <c r="C26" s="8" t="s">
        <v>12</v>
      </c>
      <c r="D26" s="9">
        <v>46308</v>
      </c>
      <c r="E26" s="9">
        <v>46308</v>
      </c>
      <c r="F26" s="8">
        <v>2.7</v>
      </c>
      <c r="G26" s="8" t="s">
        <v>17</v>
      </c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19"/>
    </row>
    <row r="27" spans="1:73" x14ac:dyDescent="0.3">
      <c r="A27" s="11">
        <v>2.9</v>
      </c>
      <c r="B27" s="8" t="s">
        <v>38</v>
      </c>
      <c r="C27" s="8" t="s">
        <v>12</v>
      </c>
      <c r="D27" s="9">
        <v>46308</v>
      </c>
      <c r="E27" s="9">
        <v>46308</v>
      </c>
      <c r="F27" s="8">
        <v>2.4</v>
      </c>
      <c r="G27" s="8" t="s">
        <v>17</v>
      </c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19"/>
    </row>
    <row r="28" spans="1:73" x14ac:dyDescent="0.3">
      <c r="A28" s="11">
        <v>2.1</v>
      </c>
      <c r="B28" s="8" t="s">
        <v>39</v>
      </c>
      <c r="C28" s="8" t="s">
        <v>12</v>
      </c>
      <c r="D28" s="9">
        <v>46308</v>
      </c>
      <c r="E28" s="9">
        <v>46308</v>
      </c>
      <c r="F28" s="8">
        <v>2.2000000000000002</v>
      </c>
      <c r="G28" s="8" t="s">
        <v>10</v>
      </c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19"/>
    </row>
    <row r="29" spans="1:73" x14ac:dyDescent="0.3">
      <c r="A29" s="11">
        <v>2.11</v>
      </c>
      <c r="B29" s="8" t="s">
        <v>40</v>
      </c>
      <c r="C29" s="8" t="s">
        <v>12</v>
      </c>
      <c r="D29" s="9">
        <v>46309</v>
      </c>
      <c r="E29" s="9">
        <v>46309</v>
      </c>
      <c r="F29" s="8">
        <v>2.1</v>
      </c>
      <c r="G29" s="8" t="s">
        <v>10</v>
      </c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19"/>
    </row>
    <row r="30" spans="1:73" x14ac:dyDescent="0.3">
      <c r="A30" s="11">
        <v>2.12</v>
      </c>
      <c r="B30" s="8" t="s">
        <v>41</v>
      </c>
      <c r="C30" s="8" t="s">
        <v>12</v>
      </c>
      <c r="D30" s="9">
        <v>46309</v>
      </c>
      <c r="E30" s="9">
        <v>46309</v>
      </c>
      <c r="F30" s="8">
        <v>2.11</v>
      </c>
      <c r="G30" s="8" t="s">
        <v>13</v>
      </c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19"/>
    </row>
    <row r="31" spans="1:73" x14ac:dyDescent="0.3">
      <c r="A31" s="10">
        <v>3</v>
      </c>
      <c r="B31" s="8" t="s">
        <v>42</v>
      </c>
      <c r="C31" s="8" t="s">
        <v>43</v>
      </c>
      <c r="D31" s="9">
        <v>46310</v>
      </c>
      <c r="E31" s="9">
        <v>46335</v>
      </c>
      <c r="F31" s="8">
        <v>2</v>
      </c>
      <c r="G31" s="8" t="s">
        <v>10</v>
      </c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19"/>
    </row>
    <row r="32" spans="1:73" x14ac:dyDescent="0.3">
      <c r="A32" s="11">
        <v>3.1</v>
      </c>
      <c r="B32" s="8" t="s">
        <v>44</v>
      </c>
      <c r="C32" s="8" t="s">
        <v>12</v>
      </c>
      <c r="D32" s="9">
        <v>46310</v>
      </c>
      <c r="E32" s="9">
        <v>46310</v>
      </c>
      <c r="F32" s="8">
        <v>2.12</v>
      </c>
      <c r="G32" s="8" t="s">
        <v>10</v>
      </c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19"/>
    </row>
    <row r="33" spans="1:73" x14ac:dyDescent="0.3">
      <c r="A33" s="11">
        <v>3.2</v>
      </c>
      <c r="B33" s="8" t="s">
        <v>45</v>
      </c>
      <c r="C33" s="8" t="s">
        <v>12</v>
      </c>
      <c r="D33" s="9">
        <v>46311</v>
      </c>
      <c r="E33" s="9">
        <v>46311</v>
      </c>
      <c r="F33" s="8">
        <v>3.1</v>
      </c>
      <c r="G33" s="8" t="s">
        <v>10</v>
      </c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19"/>
    </row>
    <row r="34" spans="1:73" x14ac:dyDescent="0.3">
      <c r="A34" s="11">
        <v>3.3</v>
      </c>
      <c r="B34" s="8" t="s">
        <v>46</v>
      </c>
      <c r="C34" s="8" t="s">
        <v>12</v>
      </c>
      <c r="D34" s="9">
        <v>46314</v>
      </c>
      <c r="E34" s="9">
        <v>46314</v>
      </c>
      <c r="F34" s="8">
        <v>3.2</v>
      </c>
      <c r="G34" s="8" t="s">
        <v>10</v>
      </c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19"/>
    </row>
    <row r="35" spans="1:73" x14ac:dyDescent="0.3">
      <c r="A35" s="11">
        <v>3.4</v>
      </c>
      <c r="B35" s="8" t="s">
        <v>47</v>
      </c>
      <c r="C35" s="8" t="s">
        <v>12</v>
      </c>
      <c r="D35" s="9">
        <v>46315</v>
      </c>
      <c r="E35" s="9">
        <v>46315</v>
      </c>
      <c r="F35" s="8">
        <v>3.3</v>
      </c>
      <c r="G35" s="8" t="s">
        <v>17</v>
      </c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19"/>
    </row>
    <row r="36" spans="1:73" x14ac:dyDescent="0.3">
      <c r="A36" s="11">
        <v>3.5</v>
      </c>
      <c r="B36" s="8" t="s">
        <v>48</v>
      </c>
      <c r="C36" s="8" t="s">
        <v>21</v>
      </c>
      <c r="D36" s="9">
        <v>46316</v>
      </c>
      <c r="E36" s="9">
        <v>46317</v>
      </c>
      <c r="F36" s="8">
        <v>3.4</v>
      </c>
      <c r="G36" s="8" t="s">
        <v>10</v>
      </c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19"/>
    </row>
    <row r="37" spans="1:73" x14ac:dyDescent="0.3">
      <c r="A37" s="11">
        <v>3.6</v>
      </c>
      <c r="B37" s="8" t="s">
        <v>49</v>
      </c>
      <c r="C37" s="8" t="s">
        <v>21</v>
      </c>
      <c r="D37" s="9">
        <v>46318</v>
      </c>
      <c r="E37" s="9">
        <v>46321</v>
      </c>
      <c r="F37" s="8">
        <v>3.5</v>
      </c>
      <c r="G37" s="8" t="s">
        <v>17</v>
      </c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19"/>
    </row>
    <row r="38" spans="1:73" x14ac:dyDescent="0.3">
      <c r="A38" s="11">
        <v>3.7</v>
      </c>
      <c r="B38" s="8" t="s">
        <v>50</v>
      </c>
      <c r="C38" s="8" t="s">
        <v>21</v>
      </c>
      <c r="D38" s="9">
        <v>46322</v>
      </c>
      <c r="E38" s="9">
        <v>46323</v>
      </c>
      <c r="F38" s="8">
        <v>3.6</v>
      </c>
      <c r="G38" s="8" t="s">
        <v>17</v>
      </c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19"/>
    </row>
    <row r="39" spans="1:73" x14ac:dyDescent="0.3">
      <c r="A39" s="11">
        <v>3.8</v>
      </c>
      <c r="B39" s="8" t="s">
        <v>51</v>
      </c>
      <c r="C39" s="8" t="s">
        <v>21</v>
      </c>
      <c r="D39" s="9">
        <v>46324</v>
      </c>
      <c r="E39" s="9">
        <v>46325</v>
      </c>
      <c r="F39" s="8">
        <v>3.7</v>
      </c>
      <c r="G39" s="8" t="s">
        <v>17</v>
      </c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19"/>
    </row>
    <row r="40" spans="1:73" x14ac:dyDescent="0.3">
      <c r="A40" s="11">
        <v>3.9</v>
      </c>
      <c r="B40" s="8" t="s">
        <v>52</v>
      </c>
      <c r="C40" s="8" t="s">
        <v>21</v>
      </c>
      <c r="D40" s="9">
        <v>46328</v>
      </c>
      <c r="E40" s="9">
        <v>46329</v>
      </c>
      <c r="F40" s="8">
        <v>3.8</v>
      </c>
      <c r="G40" s="8" t="s">
        <v>17</v>
      </c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19"/>
    </row>
    <row r="41" spans="1:73" x14ac:dyDescent="0.3">
      <c r="A41" s="11">
        <v>3.1</v>
      </c>
      <c r="B41" s="8" t="s">
        <v>53</v>
      </c>
      <c r="C41" s="8" t="s">
        <v>12</v>
      </c>
      <c r="D41" s="9">
        <v>46330</v>
      </c>
      <c r="E41" s="9">
        <v>46330</v>
      </c>
      <c r="F41" s="8">
        <v>3.9</v>
      </c>
      <c r="G41" s="8" t="s">
        <v>17</v>
      </c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19"/>
    </row>
    <row r="42" spans="1:73" x14ac:dyDescent="0.3">
      <c r="A42" s="11">
        <v>3.11</v>
      </c>
      <c r="B42" s="8" t="s">
        <v>54</v>
      </c>
      <c r="C42" s="8" t="s">
        <v>21</v>
      </c>
      <c r="D42" s="9">
        <v>46331</v>
      </c>
      <c r="E42" s="9">
        <v>46332</v>
      </c>
      <c r="F42" s="8">
        <v>3.1</v>
      </c>
      <c r="G42" s="8" t="s">
        <v>10</v>
      </c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19"/>
    </row>
    <row r="43" spans="1:73" x14ac:dyDescent="0.3">
      <c r="A43" s="11">
        <v>3.12</v>
      </c>
      <c r="B43" s="8" t="s">
        <v>55</v>
      </c>
      <c r="C43" s="8" t="s">
        <v>12</v>
      </c>
      <c r="D43" s="9">
        <v>46335</v>
      </c>
      <c r="E43" s="9">
        <v>46335</v>
      </c>
      <c r="F43" s="8">
        <v>3.11</v>
      </c>
      <c r="G43" s="8" t="s">
        <v>17</v>
      </c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19"/>
    </row>
    <row r="44" spans="1:73" x14ac:dyDescent="0.3">
      <c r="A44" s="11">
        <v>3.13</v>
      </c>
      <c r="B44" s="8" t="s">
        <v>56</v>
      </c>
      <c r="C44" s="8" t="s">
        <v>12</v>
      </c>
      <c r="D44" s="9">
        <v>46335</v>
      </c>
      <c r="E44" s="9">
        <v>46335</v>
      </c>
      <c r="F44" s="8">
        <v>3.12</v>
      </c>
      <c r="G44" s="8" t="s">
        <v>10</v>
      </c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19"/>
    </row>
    <row r="45" spans="1:73" x14ac:dyDescent="0.3">
      <c r="A45" s="11">
        <v>3.14</v>
      </c>
      <c r="B45" s="8" t="s">
        <v>57</v>
      </c>
      <c r="C45" s="8" t="s">
        <v>12</v>
      </c>
      <c r="D45" s="9">
        <v>46335</v>
      </c>
      <c r="E45" s="9">
        <v>46335</v>
      </c>
      <c r="F45" s="8">
        <v>3.13</v>
      </c>
      <c r="G45" s="8" t="s">
        <v>13</v>
      </c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19"/>
    </row>
    <row r="46" spans="1:73" x14ac:dyDescent="0.3">
      <c r="A46" s="10">
        <v>4</v>
      </c>
      <c r="B46" s="8" t="s">
        <v>58</v>
      </c>
      <c r="C46" s="8" t="s">
        <v>59</v>
      </c>
      <c r="D46" s="9">
        <v>46336</v>
      </c>
      <c r="E46" s="9">
        <v>46357</v>
      </c>
      <c r="F46" s="8">
        <v>3</v>
      </c>
      <c r="G46" s="8" t="s">
        <v>17</v>
      </c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19"/>
    </row>
    <row r="47" spans="1:73" x14ac:dyDescent="0.3">
      <c r="A47" s="11">
        <v>4.0999999999999996</v>
      </c>
      <c r="B47" s="8" t="s">
        <v>60</v>
      </c>
      <c r="C47" s="8" t="s">
        <v>12</v>
      </c>
      <c r="D47" s="9">
        <v>46336</v>
      </c>
      <c r="E47" s="9">
        <v>46336</v>
      </c>
      <c r="F47" s="8">
        <v>3.14</v>
      </c>
      <c r="G47" s="8" t="s">
        <v>17</v>
      </c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19"/>
    </row>
    <row r="48" spans="1:73" x14ac:dyDescent="0.3">
      <c r="A48" s="11">
        <v>4.2</v>
      </c>
      <c r="B48" s="8" t="s">
        <v>61</v>
      </c>
      <c r="C48" s="8" t="s">
        <v>12</v>
      </c>
      <c r="D48" s="9">
        <v>46337</v>
      </c>
      <c r="E48" s="9">
        <v>46337</v>
      </c>
      <c r="F48" s="8">
        <v>4.0999999999999996</v>
      </c>
      <c r="G48" s="8" t="s">
        <v>17</v>
      </c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19"/>
    </row>
    <row r="49" spans="1:73" x14ac:dyDescent="0.3">
      <c r="A49" s="11">
        <v>4.3</v>
      </c>
      <c r="B49" s="8" t="s">
        <v>62</v>
      </c>
      <c r="C49" s="8" t="s">
        <v>12</v>
      </c>
      <c r="D49" s="9">
        <v>46338</v>
      </c>
      <c r="E49" s="9">
        <v>46338</v>
      </c>
      <c r="F49" s="8">
        <v>4.2</v>
      </c>
      <c r="G49" s="8" t="s">
        <v>10</v>
      </c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19"/>
    </row>
    <row r="50" spans="1:73" x14ac:dyDescent="0.3">
      <c r="A50" s="11">
        <v>4.4000000000000004</v>
      </c>
      <c r="B50" s="8" t="s">
        <v>63</v>
      </c>
      <c r="C50" s="8" t="s">
        <v>12</v>
      </c>
      <c r="D50" s="9">
        <v>46339</v>
      </c>
      <c r="E50" s="9">
        <v>46339</v>
      </c>
      <c r="F50" s="8">
        <v>4.3</v>
      </c>
      <c r="G50" s="8" t="s">
        <v>17</v>
      </c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19"/>
    </row>
    <row r="51" spans="1:73" x14ac:dyDescent="0.3">
      <c r="A51" s="11">
        <v>4.5</v>
      </c>
      <c r="B51" s="8" t="s">
        <v>64</v>
      </c>
      <c r="C51" s="8" t="s">
        <v>21</v>
      </c>
      <c r="D51" s="9">
        <v>46342</v>
      </c>
      <c r="E51" s="9">
        <v>46343</v>
      </c>
      <c r="F51" s="8">
        <v>4.4000000000000004</v>
      </c>
      <c r="G51" s="8" t="s">
        <v>10</v>
      </c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19"/>
    </row>
    <row r="52" spans="1:73" x14ac:dyDescent="0.3">
      <c r="A52" s="11">
        <v>4.5999999999999996</v>
      </c>
      <c r="B52" s="8" t="s">
        <v>65</v>
      </c>
      <c r="C52" s="8" t="s">
        <v>12</v>
      </c>
      <c r="D52" s="9">
        <v>46344</v>
      </c>
      <c r="E52" s="9">
        <v>46344</v>
      </c>
      <c r="F52" s="8">
        <v>4.5</v>
      </c>
      <c r="G52" s="8" t="s">
        <v>10</v>
      </c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19"/>
    </row>
    <row r="53" spans="1:73" x14ac:dyDescent="0.3">
      <c r="A53" s="11">
        <v>4.7</v>
      </c>
      <c r="B53" s="8" t="s">
        <v>66</v>
      </c>
      <c r="C53" s="8" t="s">
        <v>12</v>
      </c>
      <c r="D53" s="9">
        <v>46345</v>
      </c>
      <c r="E53" s="9">
        <v>46345</v>
      </c>
      <c r="F53" s="8">
        <v>4.5999999999999996</v>
      </c>
      <c r="G53" s="8" t="s">
        <v>17</v>
      </c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19"/>
    </row>
    <row r="54" spans="1:73" x14ac:dyDescent="0.3">
      <c r="A54" s="11">
        <v>4.8</v>
      </c>
      <c r="B54" s="8" t="s">
        <v>67</v>
      </c>
      <c r="C54" s="8" t="s">
        <v>21</v>
      </c>
      <c r="D54" s="9">
        <v>46346</v>
      </c>
      <c r="E54" s="9">
        <v>46349</v>
      </c>
      <c r="F54" s="8">
        <v>4.7</v>
      </c>
      <c r="G54" s="8" t="s">
        <v>10</v>
      </c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19"/>
    </row>
    <row r="55" spans="1:73" x14ac:dyDescent="0.3">
      <c r="A55" s="11">
        <v>4.9000000000000004</v>
      </c>
      <c r="B55" s="8" t="s">
        <v>68</v>
      </c>
      <c r="C55" s="8" t="s">
        <v>12</v>
      </c>
      <c r="D55" s="9">
        <v>46350</v>
      </c>
      <c r="E55" s="9">
        <v>46350</v>
      </c>
      <c r="F55" s="8">
        <v>4.8</v>
      </c>
      <c r="G55" s="8" t="s">
        <v>17</v>
      </c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19"/>
    </row>
    <row r="56" spans="1:73" x14ac:dyDescent="0.3">
      <c r="A56" s="11">
        <v>4.0999999999999996</v>
      </c>
      <c r="B56" s="8" t="s">
        <v>69</v>
      </c>
      <c r="C56" s="8" t="s">
        <v>21</v>
      </c>
      <c r="D56" s="9">
        <v>46351</v>
      </c>
      <c r="E56" s="9">
        <v>46352</v>
      </c>
      <c r="F56" s="8">
        <v>4.9000000000000004</v>
      </c>
      <c r="G56" s="8" t="s">
        <v>10</v>
      </c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19"/>
    </row>
    <row r="57" spans="1:73" x14ac:dyDescent="0.3">
      <c r="A57" s="11">
        <v>4.1100000000000003</v>
      </c>
      <c r="B57" s="8" t="s">
        <v>70</v>
      </c>
      <c r="C57" s="8" t="s">
        <v>12</v>
      </c>
      <c r="D57" s="9">
        <v>46353</v>
      </c>
      <c r="E57" s="9">
        <v>46353</v>
      </c>
      <c r="F57" s="8">
        <v>4.0999999999999996</v>
      </c>
      <c r="G57" s="8" t="s">
        <v>10</v>
      </c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19"/>
    </row>
    <row r="58" spans="1:73" x14ac:dyDescent="0.3">
      <c r="A58" s="11">
        <v>4.12</v>
      </c>
      <c r="B58" s="8" t="s">
        <v>71</v>
      </c>
      <c r="C58" s="8" t="s">
        <v>12</v>
      </c>
      <c r="D58" s="9">
        <v>46356</v>
      </c>
      <c r="E58" s="9">
        <v>46356</v>
      </c>
      <c r="F58" s="8">
        <v>4.1100000000000003</v>
      </c>
      <c r="G58" s="8" t="s">
        <v>17</v>
      </c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19"/>
    </row>
    <row r="59" spans="1:73" x14ac:dyDescent="0.3">
      <c r="A59" s="11">
        <v>4.13</v>
      </c>
      <c r="B59" s="8" t="s">
        <v>72</v>
      </c>
      <c r="C59" s="8" t="s">
        <v>12</v>
      </c>
      <c r="D59" s="9">
        <v>46357</v>
      </c>
      <c r="E59" s="9">
        <v>46357</v>
      </c>
      <c r="F59" s="8">
        <v>4.12</v>
      </c>
      <c r="G59" s="8" t="s">
        <v>17</v>
      </c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19"/>
    </row>
    <row r="60" spans="1:73" x14ac:dyDescent="0.3">
      <c r="A60" s="11">
        <v>4.1399999999999997</v>
      </c>
      <c r="B60" s="8" t="s">
        <v>73</v>
      </c>
      <c r="C60" s="8" t="s">
        <v>12</v>
      </c>
      <c r="D60" s="9">
        <v>46357</v>
      </c>
      <c r="E60" s="9">
        <v>46357</v>
      </c>
      <c r="F60" s="8">
        <v>4.13</v>
      </c>
      <c r="G60" s="8" t="s">
        <v>10</v>
      </c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19"/>
    </row>
    <row r="61" spans="1:73" x14ac:dyDescent="0.3">
      <c r="A61" s="11">
        <v>4.1500000000000004</v>
      </c>
      <c r="B61" s="8" t="s">
        <v>74</v>
      </c>
      <c r="C61" s="8" t="s">
        <v>12</v>
      </c>
      <c r="D61" s="9">
        <v>46357</v>
      </c>
      <c r="E61" s="9">
        <v>46357</v>
      </c>
      <c r="F61" s="8">
        <v>4.1399999999999997</v>
      </c>
      <c r="G61" s="8" t="s">
        <v>13</v>
      </c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  <c r="BU61" s="19"/>
    </row>
    <row r="62" spans="1:73" x14ac:dyDescent="0.3">
      <c r="A62" s="10">
        <v>5</v>
      </c>
      <c r="B62" s="8" t="s">
        <v>75</v>
      </c>
      <c r="C62" s="8" t="s">
        <v>76</v>
      </c>
      <c r="D62" s="9">
        <v>46358</v>
      </c>
      <c r="E62" s="9">
        <v>46373</v>
      </c>
      <c r="F62" s="8">
        <v>4</v>
      </c>
      <c r="G62" s="8" t="s">
        <v>17</v>
      </c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19"/>
    </row>
    <row r="63" spans="1:73" x14ac:dyDescent="0.3">
      <c r="A63" s="11">
        <v>5.0999999999999996</v>
      </c>
      <c r="B63" s="8" t="s">
        <v>77</v>
      </c>
      <c r="C63" s="8" t="s">
        <v>12</v>
      </c>
      <c r="D63" s="9">
        <v>46358</v>
      </c>
      <c r="E63" s="9">
        <v>46358</v>
      </c>
      <c r="F63" s="8">
        <v>4.1500000000000004</v>
      </c>
      <c r="G63" s="8" t="s">
        <v>17</v>
      </c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8"/>
      <c r="BS63" s="8"/>
      <c r="BT63" s="8"/>
      <c r="BU63" s="19"/>
    </row>
    <row r="64" spans="1:73" x14ac:dyDescent="0.3">
      <c r="A64" s="11">
        <v>5.2</v>
      </c>
      <c r="B64" s="8" t="s">
        <v>78</v>
      </c>
      <c r="C64" s="8" t="s">
        <v>12</v>
      </c>
      <c r="D64" s="9">
        <v>46359</v>
      </c>
      <c r="E64" s="9">
        <v>46359</v>
      </c>
      <c r="F64" s="8">
        <v>5.0999999999999996</v>
      </c>
      <c r="G64" s="8" t="s">
        <v>17</v>
      </c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19"/>
    </row>
    <row r="65" spans="1:73" x14ac:dyDescent="0.3">
      <c r="A65" s="11">
        <v>5.3</v>
      </c>
      <c r="B65" s="8" t="s">
        <v>79</v>
      </c>
      <c r="C65" s="8" t="s">
        <v>12</v>
      </c>
      <c r="D65" s="9">
        <v>46360</v>
      </c>
      <c r="E65" s="9">
        <v>46360</v>
      </c>
      <c r="F65" s="8">
        <v>5.2</v>
      </c>
      <c r="G65" s="8" t="s">
        <v>10</v>
      </c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19"/>
    </row>
    <row r="66" spans="1:73" x14ac:dyDescent="0.3">
      <c r="A66" s="11">
        <v>5.4</v>
      </c>
      <c r="B66" s="8" t="s">
        <v>80</v>
      </c>
      <c r="C66" s="8" t="s">
        <v>12</v>
      </c>
      <c r="D66" s="9">
        <v>46363</v>
      </c>
      <c r="E66" s="9">
        <v>46363</v>
      </c>
      <c r="F66" s="8">
        <v>5.3</v>
      </c>
      <c r="G66" s="8" t="s">
        <v>17</v>
      </c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19"/>
    </row>
    <row r="67" spans="1:73" x14ac:dyDescent="0.3">
      <c r="A67" s="11">
        <v>5.5</v>
      </c>
      <c r="B67" s="8" t="s">
        <v>81</v>
      </c>
      <c r="C67" s="8" t="s">
        <v>12</v>
      </c>
      <c r="D67" s="9">
        <v>46366</v>
      </c>
      <c r="E67" s="9">
        <v>46366</v>
      </c>
      <c r="F67" s="8">
        <v>5.4</v>
      </c>
      <c r="G67" s="8" t="s">
        <v>10</v>
      </c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19"/>
    </row>
    <row r="68" spans="1:73" x14ac:dyDescent="0.3">
      <c r="A68" s="11">
        <v>5.6</v>
      </c>
      <c r="B68" s="8" t="s">
        <v>82</v>
      </c>
      <c r="C68" s="8" t="s">
        <v>12</v>
      </c>
      <c r="D68" s="9">
        <v>46367</v>
      </c>
      <c r="E68" s="9">
        <v>46367</v>
      </c>
      <c r="F68" s="8">
        <v>5.5</v>
      </c>
      <c r="G68" s="8" t="s">
        <v>13</v>
      </c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8"/>
      <c r="BU68" s="19"/>
    </row>
    <row r="69" spans="1:73" x14ac:dyDescent="0.3">
      <c r="A69" s="11">
        <v>5.7</v>
      </c>
      <c r="B69" s="8" t="s">
        <v>83</v>
      </c>
      <c r="C69" s="8" t="s">
        <v>12</v>
      </c>
      <c r="D69" s="9">
        <v>46370</v>
      </c>
      <c r="E69" s="9">
        <v>46370</v>
      </c>
      <c r="F69" s="8">
        <v>5.6</v>
      </c>
      <c r="G69" s="8" t="s">
        <v>17</v>
      </c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  <c r="BU69" s="19"/>
    </row>
    <row r="70" spans="1:73" x14ac:dyDescent="0.3">
      <c r="A70" s="11">
        <v>5.8</v>
      </c>
      <c r="B70" s="8" t="s">
        <v>84</v>
      </c>
      <c r="C70" s="8" t="s">
        <v>12</v>
      </c>
      <c r="D70" s="9">
        <v>46371</v>
      </c>
      <c r="E70" s="9">
        <v>46371</v>
      </c>
      <c r="F70" s="8">
        <v>5.7</v>
      </c>
      <c r="G70" s="8" t="s">
        <v>17</v>
      </c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  <c r="BT70" s="8"/>
      <c r="BU70" s="19"/>
    </row>
    <row r="71" spans="1:73" x14ac:dyDescent="0.3">
      <c r="A71" s="11">
        <v>5.9</v>
      </c>
      <c r="B71" s="8" t="s">
        <v>85</v>
      </c>
      <c r="C71" s="8" t="s">
        <v>12</v>
      </c>
      <c r="D71" s="9">
        <v>46372</v>
      </c>
      <c r="E71" s="9">
        <v>46372</v>
      </c>
      <c r="F71" s="8">
        <v>5.8</v>
      </c>
      <c r="G71" s="8" t="s">
        <v>13</v>
      </c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8"/>
      <c r="BU71" s="19"/>
    </row>
    <row r="72" spans="1:73" x14ac:dyDescent="0.3">
      <c r="A72" s="11">
        <v>5.0999999999999996</v>
      </c>
      <c r="B72" s="8" t="s">
        <v>86</v>
      </c>
      <c r="C72" s="8" t="s">
        <v>12</v>
      </c>
      <c r="D72" s="9">
        <v>46373</v>
      </c>
      <c r="E72" s="9">
        <v>46373</v>
      </c>
      <c r="F72" s="8">
        <v>5.9</v>
      </c>
      <c r="G72" s="8" t="s">
        <v>17</v>
      </c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  <c r="BP72" s="8"/>
      <c r="BQ72" s="8"/>
      <c r="BR72" s="8"/>
      <c r="BS72" s="8"/>
      <c r="BT72" s="8"/>
      <c r="BU72" s="19"/>
    </row>
    <row r="73" spans="1:73" x14ac:dyDescent="0.3">
      <c r="A73" s="11">
        <v>5.1100000000000003</v>
      </c>
      <c r="B73" s="8" t="s">
        <v>87</v>
      </c>
      <c r="C73" s="8" t="s">
        <v>12</v>
      </c>
      <c r="D73" s="9">
        <v>46373</v>
      </c>
      <c r="E73" s="9">
        <v>46373</v>
      </c>
      <c r="F73" s="8">
        <v>5.0999999999999996</v>
      </c>
      <c r="G73" s="8" t="s">
        <v>88</v>
      </c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  <c r="BP73" s="8"/>
      <c r="BQ73" s="8"/>
      <c r="BR73" s="8"/>
      <c r="BS73" s="8"/>
      <c r="BT73" s="8"/>
      <c r="BU73" s="19"/>
    </row>
    <row r="74" spans="1:73" x14ac:dyDescent="0.3">
      <c r="A74" s="10">
        <v>6</v>
      </c>
      <c r="B74" s="8" t="s">
        <v>89</v>
      </c>
      <c r="C74" s="8" t="s">
        <v>90</v>
      </c>
      <c r="D74" s="9">
        <v>46374</v>
      </c>
      <c r="E74" s="9">
        <v>46380</v>
      </c>
      <c r="F74" s="8">
        <v>5</v>
      </c>
      <c r="G74" s="8" t="s">
        <v>17</v>
      </c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8"/>
      <c r="BU74" s="19"/>
    </row>
    <row r="75" spans="1:73" x14ac:dyDescent="0.3">
      <c r="A75" s="11">
        <v>6.1</v>
      </c>
      <c r="B75" s="8" t="s">
        <v>91</v>
      </c>
      <c r="C75" s="8" t="s">
        <v>12</v>
      </c>
      <c r="D75" s="9">
        <v>46374</v>
      </c>
      <c r="E75" s="9">
        <v>46374</v>
      </c>
      <c r="F75" s="8">
        <v>5.1100000000000003</v>
      </c>
      <c r="G75" s="8" t="s">
        <v>17</v>
      </c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19"/>
    </row>
    <row r="76" spans="1:73" x14ac:dyDescent="0.3">
      <c r="A76" s="11">
        <v>6.2</v>
      </c>
      <c r="B76" s="8" t="s">
        <v>92</v>
      </c>
      <c r="C76" s="8" t="s">
        <v>12</v>
      </c>
      <c r="D76" s="9">
        <v>46377</v>
      </c>
      <c r="E76" s="9">
        <v>46377</v>
      </c>
      <c r="F76" s="8">
        <v>6.1</v>
      </c>
      <c r="G76" s="8" t="s">
        <v>17</v>
      </c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  <c r="BT76" s="8"/>
      <c r="BU76" s="19"/>
    </row>
    <row r="77" spans="1:73" x14ac:dyDescent="0.3">
      <c r="A77" s="11">
        <v>6.3</v>
      </c>
      <c r="B77" s="8" t="s">
        <v>93</v>
      </c>
      <c r="C77" s="8" t="s">
        <v>12</v>
      </c>
      <c r="D77" s="9">
        <v>46378</v>
      </c>
      <c r="E77" s="9">
        <v>46378</v>
      </c>
      <c r="F77" s="8">
        <v>6.2</v>
      </c>
      <c r="G77" s="8" t="s">
        <v>10</v>
      </c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  <c r="BT77" s="8"/>
      <c r="BU77" s="19"/>
    </row>
    <row r="78" spans="1:73" x14ac:dyDescent="0.3">
      <c r="A78" s="11">
        <v>6.4</v>
      </c>
      <c r="B78" s="8" t="s">
        <v>94</v>
      </c>
      <c r="C78" s="8" t="s">
        <v>12</v>
      </c>
      <c r="D78" s="9">
        <v>46378</v>
      </c>
      <c r="E78" s="9">
        <v>46378</v>
      </c>
      <c r="F78" s="8">
        <v>6.3</v>
      </c>
      <c r="G78" s="8" t="s">
        <v>17</v>
      </c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  <c r="BP78" s="8"/>
      <c r="BQ78" s="8"/>
      <c r="BR78" s="8"/>
      <c r="BS78" s="8"/>
      <c r="BT78" s="8"/>
      <c r="BU78" s="19"/>
    </row>
    <row r="79" spans="1:73" x14ac:dyDescent="0.3">
      <c r="A79" s="11">
        <v>6.5</v>
      </c>
      <c r="B79" s="8" t="s">
        <v>95</v>
      </c>
      <c r="C79" s="8" t="s">
        <v>12</v>
      </c>
      <c r="D79" s="9">
        <v>46379</v>
      </c>
      <c r="E79" s="9">
        <v>46379</v>
      </c>
      <c r="F79" s="8">
        <v>6.4</v>
      </c>
      <c r="G79" s="8" t="s">
        <v>17</v>
      </c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  <c r="BP79" s="8"/>
      <c r="BQ79" s="8"/>
      <c r="BR79" s="8"/>
      <c r="BS79" s="8"/>
      <c r="BT79" s="8"/>
      <c r="BU79" s="19"/>
    </row>
    <row r="80" spans="1:73" x14ac:dyDescent="0.3">
      <c r="A80" s="11">
        <v>6.6</v>
      </c>
      <c r="B80" s="8" t="s">
        <v>96</v>
      </c>
      <c r="C80" s="8" t="s">
        <v>12</v>
      </c>
      <c r="D80" s="9">
        <v>46379</v>
      </c>
      <c r="E80" s="9">
        <v>46379</v>
      </c>
      <c r="F80" s="8">
        <v>5.1100000000000003</v>
      </c>
      <c r="G80" s="8" t="s">
        <v>17</v>
      </c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  <c r="BP80" s="8"/>
      <c r="BQ80" s="8"/>
      <c r="BR80" s="8"/>
      <c r="BS80" s="8"/>
      <c r="BT80" s="8"/>
      <c r="BU80" s="19"/>
    </row>
    <row r="81" spans="1:73" x14ac:dyDescent="0.3">
      <c r="A81" s="11">
        <v>6.7</v>
      </c>
      <c r="B81" s="8" t="s">
        <v>97</v>
      </c>
      <c r="C81" s="8" t="s">
        <v>12</v>
      </c>
      <c r="D81" s="9">
        <v>46379</v>
      </c>
      <c r="E81" s="9">
        <v>46379</v>
      </c>
      <c r="F81" s="8">
        <v>6.5</v>
      </c>
      <c r="G81" s="8" t="s">
        <v>10</v>
      </c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  <c r="BP81" s="8"/>
      <c r="BQ81" s="8"/>
      <c r="BR81" s="8"/>
      <c r="BS81" s="8"/>
      <c r="BT81" s="8"/>
      <c r="BU81" s="19"/>
    </row>
    <row r="82" spans="1:73" x14ac:dyDescent="0.3">
      <c r="A82" s="11">
        <v>6.8</v>
      </c>
      <c r="B82" s="8" t="s">
        <v>98</v>
      </c>
      <c r="C82" s="8" t="s">
        <v>12</v>
      </c>
      <c r="D82" s="9">
        <v>46380</v>
      </c>
      <c r="E82" s="9">
        <v>46380</v>
      </c>
      <c r="F82" s="8">
        <v>6.7</v>
      </c>
      <c r="G82" s="8" t="s">
        <v>17</v>
      </c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  <c r="BP82" s="8"/>
      <c r="BQ82" s="8"/>
      <c r="BR82" s="8"/>
      <c r="BS82" s="8"/>
      <c r="BT82" s="8"/>
      <c r="BU82" s="19"/>
    </row>
    <row r="83" spans="1:73" x14ac:dyDescent="0.3">
      <c r="A83" s="11">
        <v>6.9</v>
      </c>
      <c r="B83" s="8" t="s">
        <v>99</v>
      </c>
      <c r="C83" s="8" t="s">
        <v>12</v>
      </c>
      <c r="D83" s="9">
        <v>46380</v>
      </c>
      <c r="E83" s="9">
        <v>46380</v>
      </c>
      <c r="F83" s="8">
        <v>6.8</v>
      </c>
      <c r="G83" s="8" t="s">
        <v>10</v>
      </c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  <c r="BU83" s="19"/>
    </row>
    <row r="84" spans="1:73" x14ac:dyDescent="0.3">
      <c r="A84" s="11">
        <v>6.1</v>
      </c>
      <c r="B84" s="8" t="s">
        <v>100</v>
      </c>
      <c r="C84" s="8" t="s">
        <v>12</v>
      </c>
      <c r="D84" s="9">
        <v>46380</v>
      </c>
      <c r="E84" s="9">
        <v>46380</v>
      </c>
      <c r="F84" s="8">
        <v>6.8</v>
      </c>
      <c r="G84" s="8" t="s">
        <v>17</v>
      </c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  <c r="BP84" s="8"/>
      <c r="BQ84" s="8"/>
      <c r="BR84" s="8"/>
      <c r="BS84" s="8"/>
      <c r="BT84" s="8"/>
      <c r="BU84" s="19"/>
    </row>
    <row r="85" spans="1:73" x14ac:dyDescent="0.3">
      <c r="A85" s="11">
        <v>6.11</v>
      </c>
      <c r="B85" s="8" t="s">
        <v>101</v>
      </c>
      <c r="C85" s="8" t="s">
        <v>102</v>
      </c>
      <c r="D85" s="9">
        <v>46380</v>
      </c>
      <c r="E85" s="9">
        <v>46380</v>
      </c>
      <c r="F85" s="8">
        <v>6.1</v>
      </c>
      <c r="G85" s="8" t="s">
        <v>88</v>
      </c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  <c r="BP85" s="8"/>
      <c r="BQ85" s="8"/>
      <c r="BR85" s="8"/>
      <c r="BS85" s="8"/>
      <c r="BT85" s="8"/>
      <c r="BU85" s="19"/>
    </row>
    <row r="86" spans="1:73" x14ac:dyDescent="0.3">
      <c r="A86" s="15">
        <v>6.12</v>
      </c>
      <c r="B86" s="16" t="s">
        <v>103</v>
      </c>
      <c r="C86" s="16" t="s">
        <v>102</v>
      </c>
      <c r="D86" s="17">
        <v>46380</v>
      </c>
      <c r="E86" s="17">
        <v>46380</v>
      </c>
      <c r="F86" s="16">
        <v>6.11</v>
      </c>
      <c r="G86" s="16" t="s">
        <v>13</v>
      </c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W86" s="16"/>
      <c r="AX86" s="16"/>
      <c r="AY86" s="16"/>
      <c r="AZ86" s="16"/>
      <c r="BA86" s="16"/>
      <c r="BB86" s="16"/>
      <c r="BC86" s="16"/>
      <c r="BD86" s="16"/>
      <c r="BE86" s="16"/>
      <c r="BF86" s="16"/>
      <c r="BG86" s="16"/>
      <c r="BH86" s="16"/>
      <c r="BI86" s="16"/>
      <c r="BJ86" s="16"/>
      <c r="BK86" s="16"/>
      <c r="BL86" s="16"/>
      <c r="BM86" s="16"/>
      <c r="BN86" s="16"/>
      <c r="BO86" s="16"/>
      <c r="BP86" s="16"/>
      <c r="BQ86" s="16"/>
      <c r="BR86" s="16"/>
      <c r="BS86" s="16"/>
      <c r="BT86" s="16"/>
      <c r="BU86" s="20"/>
    </row>
    <row r="100" spans="2:4" x14ac:dyDescent="0.3">
      <c r="B100" s="1" t="s">
        <v>110</v>
      </c>
      <c r="C100" s="1"/>
      <c r="D100" s="1">
        <f>NETWORKDAYS(D4,E86,C108:C114)</f>
        <v>66</v>
      </c>
    </row>
    <row r="107" spans="2:4" x14ac:dyDescent="0.3">
      <c r="C107" s="1" t="s">
        <v>104</v>
      </c>
      <c r="D107" s="1"/>
    </row>
    <row r="108" spans="2:4" x14ac:dyDescent="0.3">
      <c r="C108" s="2">
        <v>46303</v>
      </c>
      <c r="D108" t="s">
        <v>105</v>
      </c>
    </row>
    <row r="109" spans="2:4" x14ac:dyDescent="0.3">
      <c r="C109" s="2">
        <v>46327</v>
      </c>
      <c r="D109" t="s">
        <v>106</v>
      </c>
    </row>
    <row r="110" spans="2:4" x14ac:dyDescent="0.3">
      <c r="C110" s="2">
        <v>46364</v>
      </c>
      <c r="D110" t="s">
        <v>107</v>
      </c>
    </row>
    <row r="111" spans="2:4" x14ac:dyDescent="0.3">
      <c r="C111" s="2">
        <v>46365</v>
      </c>
      <c r="D111" t="s">
        <v>108</v>
      </c>
    </row>
    <row r="112" spans="2:4" x14ac:dyDescent="0.3">
      <c r="C112" s="2">
        <v>46381</v>
      </c>
      <c r="D112" t="s">
        <v>109</v>
      </c>
    </row>
  </sheetData>
  <mergeCells count="4">
    <mergeCell ref="H1:O1"/>
    <mergeCell ref="P1:AJ1"/>
    <mergeCell ref="AK1:BE1"/>
    <mergeCell ref="BF1:BU1"/>
  </mergeCells>
  <conditionalFormatting sqref="H4:BU86">
    <cfRule type="expression" dxfId="0" priority="1" stopIfTrue="1">
      <formula>AND(H$3&gt;=$D4, H$3&lt;=$E4)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diagrama gantt 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2026-09-24T04:27:06Z</dcterms:created>
  <dcterms:modified xsi:type="dcterms:W3CDTF">2026-09-24T04:27:08Z</dcterms:modified>
</cp:coreProperties>
</file>