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proyectos\polleria\entregables_excel\"/>
    </mc:Choice>
  </mc:AlternateContent>
  <xr:revisionPtr revIDLastSave="0" documentId="8_{E85981EA-2FB3-48C7-AA45-42C19F884868}" xr6:coauthVersionLast="47" xr6:coauthVersionMax="47" xr10:uidLastSave="{00000000-0000-0000-0000-000000000000}"/>
  <bookViews>
    <workbookView xWindow="-108" yWindow="-108" windowWidth="23256" windowHeight="12456" activeTab="2" xr2:uid="{D53164EC-5CEC-467E-A14D-9355729ED98F}"/>
  </bookViews>
  <sheets>
    <sheet name="Hoja de costos" sheetId="1" r:id="rId1"/>
    <sheet name="Recursos de desarrollo" sheetId="2" r:id="rId2"/>
    <sheet name="TIR-V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3" l="1"/>
  <c r="G27" i="3"/>
  <c r="F27" i="3"/>
  <c r="E27" i="3"/>
  <c r="D27" i="3"/>
  <c r="C27" i="3"/>
  <c r="C13" i="3"/>
  <c r="C12" i="3"/>
  <c r="H10" i="3"/>
  <c r="G10" i="3"/>
  <c r="F10" i="3"/>
  <c r="E10" i="3"/>
  <c r="D10" i="3"/>
  <c r="C10" i="3"/>
  <c r="H6" i="3"/>
  <c r="G6" i="3"/>
  <c r="F6" i="3"/>
  <c r="E6" i="3"/>
  <c r="D6" i="3"/>
  <c r="C6" i="3"/>
  <c r="H5" i="3"/>
  <c r="G5" i="3"/>
  <c r="F5" i="3"/>
  <c r="E5" i="3"/>
  <c r="D5" i="3"/>
  <c r="H8" i="3"/>
  <c r="G8" i="3"/>
  <c r="F8" i="3"/>
  <c r="E8" i="3"/>
  <c r="D8" i="3"/>
  <c r="C7" i="3"/>
  <c r="H16" i="3"/>
  <c r="F16" i="3"/>
  <c r="E16" i="3"/>
  <c r="G16" i="3"/>
  <c r="H14" i="3"/>
  <c r="G14" i="3"/>
  <c r="F14" i="3"/>
  <c r="E14" i="3"/>
  <c r="D49" i="2"/>
  <c r="D47" i="2"/>
  <c r="D46" i="2"/>
  <c r="D45" i="2"/>
  <c r="H42" i="2"/>
  <c r="G42" i="2"/>
  <c r="G33" i="2"/>
  <c r="G30" i="2"/>
  <c r="E26" i="2"/>
  <c r="K17" i="2"/>
  <c r="I17" i="2"/>
  <c r="H17" i="2"/>
  <c r="G17" i="2"/>
  <c r="F17" i="2"/>
  <c r="E17" i="2"/>
  <c r="K5" i="2"/>
  <c r="I5" i="2"/>
  <c r="H5" i="2"/>
  <c r="F5" i="2"/>
  <c r="K4" i="2"/>
  <c r="I4" i="2"/>
  <c r="H4" i="2"/>
  <c r="F4" i="2"/>
  <c r="Q18" i="1"/>
  <c r="O18" i="1"/>
  <c r="N18" i="1"/>
  <c r="Q17" i="1"/>
  <c r="O17" i="1"/>
  <c r="N17" i="1"/>
  <c r="Q16" i="1"/>
  <c r="O16" i="1"/>
  <c r="N16" i="1"/>
  <c r="Q15" i="1"/>
  <c r="O15" i="1"/>
  <c r="N15" i="1"/>
  <c r="Q14" i="1"/>
  <c r="O14" i="1"/>
  <c r="N14" i="1"/>
  <c r="W10" i="1"/>
  <c r="V10" i="1"/>
  <c r="U10" i="1"/>
  <c r="T10" i="1"/>
  <c r="S10" i="1"/>
  <c r="R10" i="1"/>
  <c r="Q10" i="1"/>
  <c r="P10" i="1"/>
  <c r="O10" i="1"/>
  <c r="N10" i="1"/>
  <c r="A10" i="1"/>
  <c r="C10" i="1"/>
  <c r="W9" i="1"/>
  <c r="V9" i="1"/>
  <c r="U9" i="1"/>
  <c r="T9" i="1"/>
  <c r="S9" i="1"/>
  <c r="R9" i="1"/>
  <c r="Q9" i="1"/>
  <c r="P9" i="1"/>
  <c r="O9" i="1"/>
  <c r="N9" i="1"/>
  <c r="A9" i="1"/>
  <c r="W8" i="1"/>
  <c r="V8" i="1"/>
  <c r="U8" i="1"/>
  <c r="T8" i="1"/>
  <c r="S8" i="1"/>
  <c r="R8" i="1"/>
  <c r="Q8" i="1"/>
  <c r="P8" i="1"/>
  <c r="O8" i="1"/>
  <c r="N8" i="1"/>
  <c r="A8" i="1"/>
  <c r="W7" i="1"/>
  <c r="V7" i="1"/>
  <c r="U7" i="1"/>
  <c r="T7" i="1"/>
  <c r="S7" i="1"/>
  <c r="R7" i="1"/>
  <c r="Q7" i="1"/>
  <c r="P7" i="1"/>
  <c r="O7" i="1"/>
  <c r="N7" i="1"/>
  <c r="A7" i="1"/>
  <c r="W6" i="1"/>
  <c r="V6" i="1"/>
  <c r="U6" i="1"/>
  <c r="T6" i="1"/>
  <c r="S6" i="1"/>
  <c r="R6" i="1"/>
  <c r="Q6" i="1"/>
  <c r="P6" i="1"/>
  <c r="O6" i="1"/>
  <c r="N6" i="1"/>
  <c r="A6" i="1"/>
  <c r="W5" i="1"/>
  <c r="V5" i="1"/>
  <c r="U5" i="1"/>
  <c r="T5" i="1"/>
  <c r="S5" i="1"/>
  <c r="R5" i="1"/>
  <c r="Q5" i="1"/>
  <c r="P5" i="1"/>
  <c r="O5" i="1"/>
  <c r="N5" i="1"/>
  <c r="A5" i="1"/>
  <c r="W4" i="1"/>
  <c r="V4" i="1"/>
  <c r="U4" i="1"/>
  <c r="T4" i="1"/>
  <c r="S4" i="1"/>
  <c r="R4" i="1"/>
  <c r="Q4" i="1"/>
  <c r="P4" i="1"/>
  <c r="O4" i="1"/>
  <c r="N4" i="1"/>
  <c r="A4" i="1"/>
</calcChain>
</file>

<file path=xl/sharedStrings.xml><?xml version="1.0" encoding="utf-8"?>
<sst xmlns="http://schemas.openxmlformats.org/spreadsheetml/2006/main" count="128" uniqueCount="96">
  <si>
    <t>Rol</t>
  </si>
  <si>
    <t>Sueldo</t>
  </si>
  <si>
    <t>Persona Asignada</t>
  </si>
  <si>
    <t>Jefe de Proyecto</t>
  </si>
  <si>
    <t>Mijail</t>
  </si>
  <si>
    <t>Analista</t>
  </si>
  <si>
    <t>Nilton</t>
  </si>
  <si>
    <t>Programador 1</t>
  </si>
  <si>
    <t>Programador 2</t>
  </si>
  <si>
    <t>Programador 3</t>
  </si>
  <si>
    <t>DBA</t>
  </si>
  <si>
    <t>Auditor</t>
  </si>
  <si>
    <t>Diseno</t>
  </si>
  <si>
    <t>Docum.</t>
  </si>
  <si>
    <t>Meses</t>
  </si>
  <si>
    <t>Fase</t>
  </si>
  <si>
    <t>Dias</t>
  </si>
  <si>
    <t>Disenador</t>
  </si>
  <si>
    <t>Documentador</t>
  </si>
  <si>
    <t>Total</t>
  </si>
  <si>
    <t>Planificacion y analisis</t>
  </si>
  <si>
    <t>Diseno de Arquitectura y UI</t>
  </si>
  <si>
    <t>Desarr. Ciclo 1</t>
  </si>
  <si>
    <t>Desarr. Ciclo 2</t>
  </si>
  <si>
    <t>Pruebas y QA</t>
  </si>
  <si>
    <t>Despliegue y DOC</t>
  </si>
  <si>
    <t>TOTAL</t>
  </si>
  <si>
    <t>Mes</t>
  </si>
  <si>
    <t>2.1 Hardware de desarrollo (Desgaste 3 meses del proyecto)</t>
  </si>
  <si>
    <t>Nombre</t>
  </si>
  <si>
    <t>Modelo</t>
  </si>
  <si>
    <t>Cantidad</t>
  </si>
  <si>
    <t>Depreciacion (mensual)</t>
  </si>
  <si>
    <t>Costo unit.</t>
  </si>
  <si>
    <t>Costo total</t>
  </si>
  <si>
    <t>Depreciacion Periodo (3m)</t>
  </si>
  <si>
    <t>Precio de venta residual</t>
  </si>
  <si>
    <t>Laptop Gamer Dev</t>
  </si>
  <si>
    <t>Asus/Lenovo Ryzen 7 Dev</t>
  </si>
  <si>
    <t>Mouse Optico Dev</t>
  </si>
  <si>
    <t>Logitech M90 USB Dev</t>
  </si>
  <si>
    <t>Total Hardware Dev</t>
  </si>
  <si>
    <t>2.2 Software de herramientas (Licencias Comerciales Gratuitas S/. 0.00)</t>
  </si>
  <si>
    <t>Visual Studio Code / Monorepo</t>
  </si>
  <si>
    <t>NestJS / Next.js Frameworks (MIT)</t>
  </si>
  <si>
    <t>PostgreSQL 16 Engine &amp; Redis (Libre)</t>
  </si>
  <si>
    <t>Docker Engine Community</t>
  </si>
  <si>
    <t>Figma Free Plan</t>
  </si>
  <si>
    <t>TOTAL SOFTWARE</t>
  </si>
  <si>
    <t>2.3 Hardware Operativo Fisico para la Polleria (Instalacion en Local - Llave en Mano)</t>
  </si>
  <si>
    <t>Item</t>
  </si>
  <si>
    <t>Cant.</t>
  </si>
  <si>
    <t>Costo Unit. (S/.)</t>
  </si>
  <si>
    <t>Costo Total (S/.)</t>
  </si>
  <si>
    <t>Equipos de Red, Servidor Local, Terminal Tactil, Ticketeras Buzzer y Tablet Mozo</t>
  </si>
  <si>
    <t>Total Hardware de Implementacion Local</t>
  </si>
  <si>
    <t>2.4 Servicios y operatividad de desarrollo</t>
  </si>
  <si>
    <t>Internet Fibra y Datos Moviles Pruebas QR 4G/5G</t>
  </si>
  <si>
    <t>Servidor Cloud VPS DigitalOcean (Just-in-Time Fase 3: 2.3 meses)</t>
  </si>
  <si>
    <t>Energia Electrica Imputada Laptops Dev y Ticketeras</t>
  </si>
  <si>
    <t>Movilidad y Visitas Tecnicas de Campo (Puerto Maldonado)</t>
  </si>
  <si>
    <t>Agua y Servicios Higienicos (Dev Station)</t>
  </si>
  <si>
    <t>Total de Servicios</t>
  </si>
  <si>
    <t>Resumen de Recursos y Equipamiento</t>
  </si>
  <si>
    <t>1. Hardware Operativo Fisico para la Polleria (Llave en Mano)</t>
  </si>
  <si>
    <t>2. Servicios Operativos Desarrollo (VPS JIT/Movilidad/Luz)</t>
  </si>
  <si>
    <t>3. Depreciacion Activos Dev (2 Laptops 3 meses)</t>
  </si>
  <si>
    <t>4. Mobiliario de Oficina (Eliminado - Estaciones propias)</t>
  </si>
  <si>
    <t>Total Recursos de Desarrollo y Hardware Local</t>
  </si>
  <si>
    <t>Operacion mensual</t>
  </si>
  <si>
    <t>Mantenimiento mensual</t>
  </si>
  <si>
    <t>Tasa (COK)</t>
  </si>
  <si>
    <t>IGV</t>
  </si>
  <si>
    <t>Ingreso anual</t>
  </si>
  <si>
    <t>Recursos</t>
  </si>
  <si>
    <t>Inversion Base</t>
  </si>
  <si>
    <t>Precio normal</t>
  </si>
  <si>
    <t>Descuento del 5%</t>
  </si>
  <si>
    <t>Precio negociable (I0)</t>
  </si>
  <si>
    <t>Ingresos netos</t>
  </si>
  <si>
    <t>Concepto</t>
  </si>
  <si>
    <t>Ano 0</t>
  </si>
  <si>
    <t>Ano 1</t>
  </si>
  <si>
    <t>Ano 2</t>
  </si>
  <si>
    <t>Ano 3</t>
  </si>
  <si>
    <t>Ano 4</t>
  </si>
  <si>
    <t>Ano 5</t>
  </si>
  <si>
    <t>Inversion</t>
  </si>
  <si>
    <t>Operacion</t>
  </si>
  <si>
    <t>Mantenimiento</t>
  </si>
  <si>
    <t>Egresos</t>
  </si>
  <si>
    <t>Flujo neto</t>
  </si>
  <si>
    <t>VAN</t>
  </si>
  <si>
    <t>TIR</t>
  </si>
  <si>
    <t>Recuperacion de la inversion (Flujo Acumulado)</t>
  </si>
  <si>
    <t>Flujo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</si>
</sst>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/.&quot;\ #,##0.00"/>
    <numFmt numFmtId="165" formatCode="0.0000"/>
    <numFmt numFmtId="166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27D2E"/>
        <bgColor indexed="64"/>
      </patternFill>
    </fill>
    <fill>
      <patternFill patternType="solid">
        <fgColor rgb="FFE9F5E8"/>
        <bgColor indexed="64"/>
      </patternFill>
    </fill>
    <fill>
      <patternFill patternType="solid">
        <fgColor rgb="FFC06515"/>
        <bgColor indexed="64"/>
      </patternFill>
    </fill>
    <fill>
      <patternFill patternType="solid">
        <fgColor rgb="FFB3ECFF"/>
        <bgColor indexed="64"/>
      </patternFill>
    </fill>
    <fill>
      <patternFill patternType="solid">
        <fgColor rgb="FF205E1B"/>
        <bgColor indexed="64"/>
      </patternFill>
    </fill>
    <fill>
      <patternFill patternType="solid">
        <fgColor rgb="FFC9E6C8"/>
        <bgColor indexed="64"/>
      </patternFill>
    </fill>
    <fill>
      <patternFill patternType="solid">
        <fgColor rgb="FFFBDEBB"/>
        <bgColor indexed="64"/>
      </patternFill>
    </fill>
  </fills>
  <borders count="9">
    <border>
      <left/>
      <right/>
      <top/>
      <bottom/>
      <diagonal/>
    </border>
    <border>
      <left style="thin">
        <color rgb="FFD0D0D0"/>
      </left>
      <right/>
      <top/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/>
      <bottom/>
      <diagonal/>
    </border>
    <border>
      <left/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1" fillId="0" borderId="0" xfId="0" applyFont="1"/>
    <xf numFmtId="0" fontId="0" fillId="0" borderId="0" xfId="0" applyBorder="1"/>
    <xf numFmtId="166" fontId="0" fillId="0" borderId="0" xfId="0" applyNumberFormat="1" applyBorder="1"/>
    <xf numFmtId="164" fontId="0" fillId="0" borderId="0" xfId="0" applyNumberFormat="1" applyBorder="1"/>
    <xf numFmtId="165" fontId="0" fillId="0" borderId="1" xfId="0" applyNumberFormat="1" applyBorder="1"/>
    <xf numFmtId="0" fontId="2" fillId="2" borderId="2" xfId="0" applyFont="1" applyFill="1" applyBorder="1"/>
    <xf numFmtId="0" fontId="2" fillId="2" borderId="3" xfId="0" applyFont="1" applyFill="1" applyBorder="1"/>
    <xf numFmtId="165" fontId="1" fillId="3" borderId="4" xfId="0" applyNumberFormat="1" applyFont="1" applyFill="1" applyBorder="1"/>
    <xf numFmtId="0" fontId="1" fillId="3" borderId="5" xfId="0" applyFont="1" applyFill="1" applyBorder="1"/>
    <xf numFmtId="164" fontId="1" fillId="3" borderId="5" xfId="0" applyNumberFormat="1" applyFont="1" applyFill="1" applyBorder="1"/>
    <xf numFmtId="0" fontId="2" fillId="2" borderId="6" xfId="0" applyFont="1" applyFill="1" applyBorder="1"/>
    <xf numFmtId="164" fontId="0" fillId="0" borderId="7" xfId="0" applyNumberFormat="1" applyBorder="1"/>
    <xf numFmtId="164" fontId="1" fillId="3" borderId="8" xfId="0" applyNumberFormat="1" applyFont="1" applyFill="1" applyBorder="1"/>
    <xf numFmtId="0" fontId="0" fillId="0" borderId="1" xfId="0" applyBorder="1"/>
    <xf numFmtId="0" fontId="2" fillId="4" borderId="2" xfId="0" applyFont="1" applyFill="1" applyBorder="1"/>
    <xf numFmtId="0" fontId="2" fillId="4" borderId="3" xfId="0" applyFont="1" applyFill="1" applyBorder="1"/>
    <xf numFmtId="0" fontId="1" fillId="0" borderId="4" xfId="0" applyFont="1" applyBorder="1"/>
    <xf numFmtId="164" fontId="1" fillId="0" borderId="5" xfId="0" applyNumberFormat="1" applyFont="1" applyBorder="1"/>
    <xf numFmtId="0" fontId="2" fillId="4" borderId="6" xfId="0" applyFont="1" applyFill="1" applyBorder="1"/>
    <xf numFmtId="0" fontId="0" fillId="0" borderId="7" xfId="0" applyBorder="1"/>
    <xf numFmtId="164" fontId="1" fillId="0" borderId="8" xfId="0" applyNumberFormat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0" fontId="0" fillId="0" borderId="6" xfId="0" applyBorder="1"/>
    <xf numFmtId="164" fontId="0" fillId="0" borderId="8" xfId="0" applyNumberFormat="1" applyBorder="1"/>
    <xf numFmtId="0" fontId="1" fillId="0" borderId="2" xfId="0" applyFont="1" applyBorder="1"/>
    <xf numFmtId="0" fontId="1" fillId="5" borderId="4" xfId="0" applyFont="1" applyFill="1" applyBorder="1"/>
    <xf numFmtId="0" fontId="1" fillId="5" borderId="5" xfId="0" applyFont="1" applyFill="1" applyBorder="1"/>
    <xf numFmtId="164" fontId="1" fillId="5" borderId="8" xfId="0" applyNumberFormat="1" applyFont="1" applyFill="1" applyBorder="1"/>
    <xf numFmtId="0" fontId="2" fillId="6" borderId="2" xfId="0" applyFont="1" applyFill="1" applyBorder="1"/>
    <xf numFmtId="0" fontId="2" fillId="6" borderId="3" xfId="0" applyFont="1" applyFill="1" applyBorder="1"/>
    <xf numFmtId="0" fontId="1" fillId="7" borderId="4" xfId="0" applyFont="1" applyFill="1" applyBorder="1"/>
    <xf numFmtId="164" fontId="1" fillId="7" borderId="5" xfId="0" applyNumberFormat="1" applyFont="1" applyFill="1" applyBorder="1"/>
    <xf numFmtId="0" fontId="2" fillId="6" borderId="6" xfId="0" applyFont="1" applyFill="1" applyBorder="1"/>
    <xf numFmtId="164" fontId="1" fillId="7" borderId="8" xfId="0" applyNumberFormat="1" applyFont="1" applyFill="1" applyBorder="1"/>
    <xf numFmtId="0" fontId="1" fillId="8" borderId="2" xfId="0" applyFont="1" applyFill="1" applyBorder="1"/>
    <xf numFmtId="164" fontId="1" fillId="8" borderId="6" xfId="0" applyNumberFormat="1" applyFont="1" applyFill="1" applyBorder="1"/>
    <xf numFmtId="10" fontId="1" fillId="7" borderId="8" xfId="0" applyNumberFormat="1" applyFont="1" applyFill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6" fontId="0" fillId="0" borderId="6" xfId="0" applyNumberForma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642A-6DDA-44AB-AA68-33B4522D7121}">
  <dimension ref="A1:W18"/>
  <sheetViews>
    <sheetView workbookViewId="0"/>
  </sheetViews>
  <sheetFormatPr defaultRowHeight="14.4" x14ac:dyDescent="0.3"/>
  <cols>
    <col min="1" max="1" width="6.5546875" bestFit="1" customWidth="1"/>
    <col min="2" max="2" width="22.6640625" bestFit="1" customWidth="1"/>
    <col min="3" max="3" width="4.6640625" bestFit="1" customWidth="1"/>
    <col min="4" max="4" width="15.6640625" bestFit="1" customWidth="1"/>
    <col min="5" max="5" width="14.109375" bestFit="1" customWidth="1"/>
    <col min="6" max="6" width="10.6640625" bestFit="1" customWidth="1"/>
    <col min="7" max="9" width="12.88671875" bestFit="1" customWidth="1"/>
    <col min="10" max="13" width="10.6640625" bestFit="1" customWidth="1"/>
    <col min="14" max="14" width="14.44140625" bestFit="1" customWidth="1"/>
    <col min="15" max="15" width="10.77734375" bestFit="1" customWidth="1"/>
    <col min="16" max="18" width="13.21875" bestFit="1" customWidth="1"/>
    <col min="19" max="19" width="10.77734375" bestFit="1" customWidth="1"/>
    <col min="20" max="20" width="9.21875" bestFit="1" customWidth="1"/>
    <col min="21" max="21" width="9.44140625" bestFit="1" customWidth="1"/>
    <col min="22" max="22" width="13.44140625" bestFit="1" customWidth="1"/>
    <col min="23" max="23" width="10.77734375" bestFit="1" customWidth="1"/>
  </cols>
  <sheetData>
    <row r="1" spans="1:23" x14ac:dyDescent="0.3">
      <c r="D1" t="s">
        <v>0</v>
      </c>
      <c r="E1" t="s">
        <v>3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23" x14ac:dyDescent="0.3">
      <c r="D2" t="s">
        <v>1</v>
      </c>
      <c r="E2" s="1">
        <v>1800</v>
      </c>
      <c r="F2" s="1">
        <v>1400</v>
      </c>
      <c r="G2" s="1">
        <v>1500</v>
      </c>
      <c r="H2" s="1">
        <v>1500</v>
      </c>
      <c r="I2" s="1">
        <v>1400</v>
      </c>
      <c r="J2" s="1">
        <v>1500</v>
      </c>
      <c r="K2" s="1">
        <v>1200</v>
      </c>
      <c r="L2" s="1">
        <v>1200</v>
      </c>
      <c r="M2" s="1">
        <v>1025</v>
      </c>
    </row>
    <row r="3" spans="1:23" x14ac:dyDescent="0.3">
      <c r="A3" s="8" t="s">
        <v>14</v>
      </c>
      <c r="B3" s="9" t="s">
        <v>15</v>
      </c>
      <c r="C3" s="9" t="s">
        <v>16</v>
      </c>
      <c r="D3" s="9" t="s">
        <v>2</v>
      </c>
      <c r="E3" s="9" t="s">
        <v>4</v>
      </c>
      <c r="F3" s="9" t="s">
        <v>6</v>
      </c>
      <c r="G3" s="9" t="s">
        <v>4</v>
      </c>
      <c r="H3" s="9" t="s">
        <v>6</v>
      </c>
      <c r="I3" s="9" t="s">
        <v>6</v>
      </c>
      <c r="J3" s="9" t="s">
        <v>4</v>
      </c>
      <c r="K3" s="9" t="s">
        <v>6</v>
      </c>
      <c r="L3" s="9" t="s">
        <v>4</v>
      </c>
      <c r="M3" s="9" t="s">
        <v>6</v>
      </c>
      <c r="N3" s="9" t="s">
        <v>3</v>
      </c>
      <c r="O3" s="9" t="s">
        <v>5</v>
      </c>
      <c r="P3" s="9" t="s">
        <v>7</v>
      </c>
      <c r="Q3" s="9" t="s">
        <v>8</v>
      </c>
      <c r="R3" s="9" t="s">
        <v>9</v>
      </c>
      <c r="S3" s="9" t="s">
        <v>10</v>
      </c>
      <c r="T3" s="9" t="s">
        <v>11</v>
      </c>
      <c r="U3" s="9" t="s">
        <v>17</v>
      </c>
      <c r="V3" s="9" t="s">
        <v>18</v>
      </c>
      <c r="W3" s="13" t="s">
        <v>19</v>
      </c>
    </row>
    <row r="4" spans="1:23" x14ac:dyDescent="0.3">
      <c r="A4" s="7">
        <f>C4/30</f>
        <v>0.3</v>
      </c>
      <c r="B4" s="4" t="s">
        <v>20</v>
      </c>
      <c r="C4" s="4">
        <v>9</v>
      </c>
      <c r="D4" s="4" t="s">
        <v>4</v>
      </c>
      <c r="E4" s="5">
        <v>0.5</v>
      </c>
      <c r="F4" s="5">
        <v>0.5</v>
      </c>
      <c r="G4" s="5">
        <v>0.2</v>
      </c>
      <c r="H4" s="5">
        <v>0.2</v>
      </c>
      <c r="I4" s="5">
        <v>0.1</v>
      </c>
      <c r="J4" s="5">
        <v>0.3</v>
      </c>
      <c r="K4" s="5">
        <v>0.4</v>
      </c>
      <c r="L4" s="5">
        <v>0.5</v>
      </c>
      <c r="M4" s="5">
        <v>0.3</v>
      </c>
      <c r="N4" s="6">
        <f>E$2*E4*$A4</f>
        <v>270</v>
      </c>
      <c r="O4" s="6">
        <f>F$2*F4*$A4</f>
        <v>210</v>
      </c>
      <c r="P4" s="6">
        <f>G$2*G4*$A4</f>
        <v>90</v>
      </c>
      <c r="Q4" s="6">
        <f>H$2*H4*$A4</f>
        <v>90</v>
      </c>
      <c r="R4" s="6">
        <f>I$2*I4*$A4</f>
        <v>42</v>
      </c>
      <c r="S4" s="6">
        <f>J$2*J4*$A4</f>
        <v>135</v>
      </c>
      <c r="T4" s="6">
        <f>K$2*K4*$A4</f>
        <v>144</v>
      </c>
      <c r="U4" s="6">
        <f>L$2*L4*$A4</f>
        <v>180</v>
      </c>
      <c r="V4" s="6">
        <f>M$2*M4*$A4</f>
        <v>92.25</v>
      </c>
      <c r="W4" s="14">
        <f>SUM(N4:V4)</f>
        <v>1253.25</v>
      </c>
    </row>
    <row r="5" spans="1:23" x14ac:dyDescent="0.3">
      <c r="A5" s="7">
        <f>C5/30</f>
        <v>0.3</v>
      </c>
      <c r="B5" s="4" t="s">
        <v>21</v>
      </c>
      <c r="C5" s="4">
        <v>9</v>
      </c>
      <c r="D5" s="4" t="s">
        <v>4</v>
      </c>
      <c r="E5" s="5">
        <v>0.5</v>
      </c>
      <c r="F5" s="5">
        <v>0.4</v>
      </c>
      <c r="G5" s="5">
        <v>0.5</v>
      </c>
      <c r="H5" s="5">
        <v>0.2</v>
      </c>
      <c r="I5" s="5">
        <v>0.2</v>
      </c>
      <c r="J5" s="5">
        <v>0.3</v>
      </c>
      <c r="K5" s="5">
        <v>0.3</v>
      </c>
      <c r="L5" s="5">
        <v>0.2</v>
      </c>
      <c r="M5" s="5">
        <v>0.4</v>
      </c>
      <c r="N5" s="6">
        <f>E$2*E5*$A5</f>
        <v>270</v>
      </c>
      <c r="O5" s="6">
        <f>F$2*F5*$A5</f>
        <v>168</v>
      </c>
      <c r="P5" s="6">
        <f>G$2*G5*$A5</f>
        <v>225</v>
      </c>
      <c r="Q5" s="6">
        <f>H$2*H5*$A5</f>
        <v>90</v>
      </c>
      <c r="R5" s="6">
        <f>I$2*I5*$A5</f>
        <v>84</v>
      </c>
      <c r="S5" s="6">
        <f>J$2*J5*$A5</f>
        <v>135</v>
      </c>
      <c r="T5" s="6">
        <f>K$2*K5*$A5</f>
        <v>108</v>
      </c>
      <c r="U5" s="6">
        <f>L$2*L5*$A5</f>
        <v>72</v>
      </c>
      <c r="V5" s="6">
        <f>M$2*M5*$A5</f>
        <v>123</v>
      </c>
      <c r="W5" s="14">
        <f>SUM(N5:V5)</f>
        <v>1275</v>
      </c>
    </row>
    <row r="6" spans="1:23" x14ac:dyDescent="0.3">
      <c r="A6" s="7">
        <f>C6/31</f>
        <v>0.58064516129032262</v>
      </c>
      <c r="B6" s="4" t="s">
        <v>22</v>
      </c>
      <c r="C6" s="4">
        <v>18</v>
      </c>
      <c r="D6" s="4" t="s">
        <v>4</v>
      </c>
      <c r="E6" s="5">
        <v>0.3</v>
      </c>
      <c r="F6" s="5">
        <v>0.2</v>
      </c>
      <c r="G6" s="5">
        <v>0.5</v>
      </c>
      <c r="H6" s="5">
        <v>0.5</v>
      </c>
      <c r="I6" s="5">
        <v>0.2</v>
      </c>
      <c r="J6" s="5">
        <v>0.3</v>
      </c>
      <c r="K6" s="5">
        <v>0.5</v>
      </c>
      <c r="L6" s="5">
        <v>0.2</v>
      </c>
      <c r="M6" s="5">
        <v>0.3</v>
      </c>
      <c r="N6" s="6">
        <f>E$2*E6*$A6</f>
        <v>313.54838709677421</v>
      </c>
      <c r="O6" s="6">
        <f>F$2*F6*$A6</f>
        <v>162.58064516129033</v>
      </c>
      <c r="P6" s="6">
        <f>G$2*G6*$A6</f>
        <v>435.48387096774195</v>
      </c>
      <c r="Q6" s="6">
        <f>H$2*H6*$A6</f>
        <v>435.48387096774195</v>
      </c>
      <c r="R6" s="6">
        <f>I$2*I6*$A6</f>
        <v>162.58064516129033</v>
      </c>
      <c r="S6" s="6">
        <f>J$2*J6*$A6</f>
        <v>261.29032258064518</v>
      </c>
      <c r="T6" s="6">
        <f>K$2*K6*$A6</f>
        <v>348.38709677419359</v>
      </c>
      <c r="U6" s="6">
        <f>L$2*L6*$A6</f>
        <v>139.35483870967744</v>
      </c>
      <c r="V6" s="6">
        <f>M$2*M6*$A6</f>
        <v>178.54838709677421</v>
      </c>
      <c r="W6" s="14">
        <f>SUM(N6:V6)</f>
        <v>2437.2580645161288</v>
      </c>
    </row>
    <row r="7" spans="1:23" x14ac:dyDescent="0.3">
      <c r="A7" s="7">
        <f>C7/30</f>
        <v>0.53333333333333333</v>
      </c>
      <c r="B7" s="4" t="s">
        <v>23</v>
      </c>
      <c r="C7" s="4">
        <v>16</v>
      </c>
      <c r="D7" s="4" t="s">
        <v>6</v>
      </c>
      <c r="E7" s="5">
        <v>0.3</v>
      </c>
      <c r="F7" s="5">
        <v>0.2</v>
      </c>
      <c r="G7" s="5">
        <v>0.2</v>
      </c>
      <c r="H7" s="5">
        <v>0.5</v>
      </c>
      <c r="I7" s="5">
        <v>0.5</v>
      </c>
      <c r="J7" s="5">
        <v>0.5</v>
      </c>
      <c r="K7" s="5">
        <v>0.2</v>
      </c>
      <c r="L7" s="5">
        <v>0.3</v>
      </c>
      <c r="M7" s="5">
        <v>0.3</v>
      </c>
      <c r="N7" s="6">
        <f>E$2*E7*$A7</f>
        <v>288</v>
      </c>
      <c r="O7" s="6">
        <f>F$2*F7*$A7</f>
        <v>149.33333333333334</v>
      </c>
      <c r="P7" s="6">
        <f>G$2*G7*$A7</f>
        <v>160</v>
      </c>
      <c r="Q7" s="6">
        <f>H$2*H7*$A7</f>
        <v>400</v>
      </c>
      <c r="R7" s="6">
        <f>I$2*I7*$A7</f>
        <v>373.33333333333331</v>
      </c>
      <c r="S7" s="6">
        <f>J$2*J7*$A7</f>
        <v>400</v>
      </c>
      <c r="T7" s="6">
        <f>K$2*K7*$A7</f>
        <v>128</v>
      </c>
      <c r="U7" s="6">
        <f>L$2*L7*$A7</f>
        <v>192</v>
      </c>
      <c r="V7" s="6">
        <f>M$2*M7*$A7</f>
        <v>164</v>
      </c>
      <c r="W7" s="14">
        <f>SUM(N7:V7)</f>
        <v>2254.666666666667</v>
      </c>
    </row>
    <row r="8" spans="1:23" x14ac:dyDescent="0.3">
      <c r="A8" s="7">
        <f>C8/31</f>
        <v>0.35483870967741937</v>
      </c>
      <c r="B8" s="4" t="s">
        <v>24</v>
      </c>
      <c r="C8" s="4">
        <v>11</v>
      </c>
      <c r="D8" s="4" t="s">
        <v>6</v>
      </c>
      <c r="E8" s="5">
        <v>0.5</v>
      </c>
      <c r="F8" s="5">
        <v>0.5</v>
      </c>
      <c r="G8" s="5">
        <v>0.3</v>
      </c>
      <c r="H8" s="5">
        <v>0.25</v>
      </c>
      <c r="I8" s="5">
        <v>0.2</v>
      </c>
      <c r="J8" s="5">
        <v>0.3</v>
      </c>
      <c r="K8" s="5">
        <v>0.3</v>
      </c>
      <c r="L8" s="5">
        <v>0.4</v>
      </c>
      <c r="M8" s="5">
        <v>0.25</v>
      </c>
      <c r="N8" s="6">
        <f>E$2*E8*$A8</f>
        <v>319.35483870967744</v>
      </c>
      <c r="O8" s="6">
        <f>F$2*F8*$A8</f>
        <v>248.38709677419357</v>
      </c>
      <c r="P8" s="6">
        <f>G$2*G8*$A8</f>
        <v>159.67741935483872</v>
      </c>
      <c r="Q8" s="6">
        <f>H$2*H8*$A8</f>
        <v>133.06451612903226</v>
      </c>
      <c r="R8" s="6">
        <f>I$2*I8*$A8</f>
        <v>99.354838709677423</v>
      </c>
      <c r="S8" s="6">
        <f>J$2*J8*$A8</f>
        <v>159.67741935483872</v>
      </c>
      <c r="T8" s="6">
        <f>K$2*K8*$A8</f>
        <v>127.74193548387098</v>
      </c>
      <c r="U8" s="6">
        <f>L$2*L8*$A8</f>
        <v>170.32258064516131</v>
      </c>
      <c r="V8" s="6">
        <f>M$2*M8*$A8</f>
        <v>90.927419354838719</v>
      </c>
      <c r="W8" s="14">
        <f>SUM(N8:V8)</f>
        <v>1508.508064516129</v>
      </c>
    </row>
    <row r="9" spans="1:23" x14ac:dyDescent="0.3">
      <c r="A9" s="7">
        <f>C9/31</f>
        <v>0.16129032258064516</v>
      </c>
      <c r="B9" s="4" t="s">
        <v>25</v>
      </c>
      <c r="C9" s="4">
        <v>5</v>
      </c>
      <c r="D9" s="4" t="s">
        <v>6</v>
      </c>
      <c r="E9" s="5">
        <v>0.5</v>
      </c>
      <c r="F9" s="5">
        <v>0.3</v>
      </c>
      <c r="G9" s="5">
        <v>0.5</v>
      </c>
      <c r="H9" s="5">
        <v>0.1</v>
      </c>
      <c r="I9" s="5">
        <v>0.1</v>
      </c>
      <c r="J9" s="5">
        <v>0.3</v>
      </c>
      <c r="K9" s="5">
        <v>0.4</v>
      </c>
      <c r="L9" s="5">
        <v>0.2</v>
      </c>
      <c r="M9" s="5">
        <v>0.6</v>
      </c>
      <c r="N9" s="6">
        <f>E$2*E9*$A9</f>
        <v>145.16129032258064</v>
      </c>
      <c r="O9" s="6">
        <f>F$2*F9*$A9</f>
        <v>67.741935483870961</v>
      </c>
      <c r="P9" s="6">
        <f>G$2*G9*$A9</f>
        <v>120.96774193548387</v>
      </c>
      <c r="Q9" s="6">
        <f>H$2*H9*$A9</f>
        <v>24.193548387096772</v>
      </c>
      <c r="R9" s="6">
        <f>I$2*I9*$A9</f>
        <v>22.58064516129032</v>
      </c>
      <c r="S9" s="6">
        <f>J$2*J9*$A9</f>
        <v>72.58064516129032</v>
      </c>
      <c r="T9" s="6">
        <f>K$2*K9*$A9</f>
        <v>77.41935483870968</v>
      </c>
      <c r="U9" s="6">
        <f>L$2*L9*$A9</f>
        <v>38.70967741935484</v>
      </c>
      <c r="V9" s="6">
        <f>M$2*M9*$A9</f>
        <v>99.193548387096769</v>
      </c>
      <c r="W9" s="14">
        <f>SUM(N9:V9)</f>
        <v>668.54838709677415</v>
      </c>
    </row>
    <row r="10" spans="1:23" x14ac:dyDescent="0.3">
      <c r="A10" s="10">
        <f>SUM(A4:A9)</f>
        <v>2.2301075268817203</v>
      </c>
      <c r="B10" s="11" t="s">
        <v>26</v>
      </c>
      <c r="C10" s="11">
        <f>SUM(C4:C9)</f>
        <v>68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>
        <f>SUM(N4:N9)</f>
        <v>1606.0645161290324</v>
      </c>
      <c r="O10" s="12">
        <f>SUM(O4:O9)</f>
        <v>1006.0430107526882</v>
      </c>
      <c r="P10" s="12">
        <f>SUM(P4:P9)</f>
        <v>1191.1290322580646</v>
      </c>
      <c r="Q10" s="12">
        <f>SUM(Q4:Q9)</f>
        <v>1172.741935483871</v>
      </c>
      <c r="R10" s="12">
        <f>SUM(R4:R9)</f>
        <v>783.84946236559153</v>
      </c>
      <c r="S10" s="12">
        <f>SUM(S4:S9)</f>
        <v>1163.5483870967741</v>
      </c>
      <c r="T10" s="12">
        <f>SUM(T4:T9)</f>
        <v>933.54838709677426</v>
      </c>
      <c r="U10" s="12">
        <f>SUM(U4:U9)</f>
        <v>792.38709677419365</v>
      </c>
      <c r="V10" s="12">
        <f>SUM(V4:V9)</f>
        <v>747.91935483870975</v>
      </c>
      <c r="W10" s="15">
        <f>SUM(N10:V10)</f>
        <v>9397.2311827957001</v>
      </c>
    </row>
    <row r="12" spans="1:23" x14ac:dyDescent="0.3">
      <c r="M12" s="17" t="s">
        <v>27</v>
      </c>
      <c r="N12" s="18" t="s">
        <v>4</v>
      </c>
      <c r="O12" s="18" t="s">
        <v>6</v>
      </c>
      <c r="P12" s="18"/>
      <c r="Q12" s="21" t="s">
        <v>19</v>
      </c>
    </row>
    <row r="13" spans="1:23" x14ac:dyDescent="0.3">
      <c r="M13" s="16"/>
      <c r="N13" s="4"/>
      <c r="O13" s="4"/>
      <c r="P13" s="4"/>
      <c r="Q13" s="22"/>
    </row>
    <row r="14" spans="1:23" x14ac:dyDescent="0.3">
      <c r="M14" s="16">
        <v>1</v>
      </c>
      <c r="N14" s="6">
        <f>(N4+P4+S4+U4)+(N5+P5+S5+U5)</f>
        <v>1377</v>
      </c>
      <c r="O14" s="6">
        <f>(O4+Q4+R4+T4+V4)+(O5+Q5+R5+T5+V5)</f>
        <v>1151.25</v>
      </c>
      <c r="P14" s="6"/>
      <c r="Q14" s="14">
        <f>N14+O14</f>
        <v>2528.25</v>
      </c>
    </row>
    <row r="15" spans="1:23" x14ac:dyDescent="0.3">
      <c r="M15" s="16">
        <v>2</v>
      </c>
      <c r="N15" s="6">
        <f>(N6+P6+S6+U6)</f>
        <v>1149.6774193548385</v>
      </c>
      <c r="O15" s="6">
        <f>(O6+Q6+R6+T6+V6)</f>
        <v>1287.5806451612905</v>
      </c>
      <c r="P15" s="6"/>
      <c r="Q15" s="14">
        <f>N15+O15</f>
        <v>2437.2580645161288</v>
      </c>
    </row>
    <row r="16" spans="1:23" x14ac:dyDescent="0.3">
      <c r="M16" s="16">
        <v>3</v>
      </c>
      <c r="N16" s="6">
        <f>(N7+P7+S7+U7)</f>
        <v>1040</v>
      </c>
      <c r="O16" s="6">
        <f>(O7+Q7+R7+T7+V7)</f>
        <v>1214.6666666666667</v>
      </c>
      <c r="P16" s="6"/>
      <c r="Q16" s="14">
        <f>N16+O16</f>
        <v>2254.666666666667</v>
      </c>
    </row>
    <row r="17" spans="13:17" x14ac:dyDescent="0.3">
      <c r="M17" s="16">
        <v>4</v>
      </c>
      <c r="N17" s="6">
        <f>(N8+P8+S8+U8)+(N9+P9+S9+U9)</f>
        <v>1186.4516129032259</v>
      </c>
      <c r="O17" s="6">
        <f>(O8+Q8+R8+T8+V8)+(O9+Q9+R9+T9+V9)</f>
        <v>990.60483870967744</v>
      </c>
      <c r="P17" s="6"/>
      <c r="Q17" s="14">
        <f>N17+O17</f>
        <v>2177.0564516129034</v>
      </c>
    </row>
    <row r="18" spans="13:17" x14ac:dyDescent="0.3">
      <c r="M18" s="19" t="s">
        <v>19</v>
      </c>
      <c r="N18" s="20">
        <f>SUM(N14:N17)</f>
        <v>4753.1290322580644</v>
      </c>
      <c r="O18" s="20">
        <f>SUM(O14:O17)</f>
        <v>4644.1021505376348</v>
      </c>
      <c r="P18" s="20"/>
      <c r="Q18" s="23">
        <f>SUM(N18:O18)</f>
        <v>9397.2311827956983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B8FD-616E-44D6-97F8-6DEE2F4A1694}">
  <dimension ref="B2:K49"/>
  <sheetViews>
    <sheetView workbookViewId="0"/>
  </sheetViews>
  <sheetFormatPr defaultRowHeight="14.4" x14ac:dyDescent="0.3"/>
  <cols>
    <col min="2" max="2" width="71.109375" bestFit="1" customWidth="1"/>
    <col min="3" max="3" width="21.109375" bestFit="1" customWidth="1"/>
    <col min="4" max="4" width="10.77734375" bestFit="1" customWidth="1"/>
    <col min="5" max="5" width="13.5546875" bestFit="1" customWidth="1"/>
    <col min="6" max="6" width="20.33203125" bestFit="1" customWidth="1"/>
    <col min="7" max="7" width="13.6640625" bestFit="1" customWidth="1"/>
    <col min="8" max="8" width="10.6640625" bestFit="1" customWidth="1"/>
    <col min="9" max="9" width="22.6640625" bestFit="1" customWidth="1"/>
    <col min="11" max="11" width="20.21875" bestFit="1" customWidth="1"/>
  </cols>
  <sheetData>
    <row r="2" spans="2:11" x14ac:dyDescent="0.3">
      <c r="B2" s="3" t="s">
        <v>28</v>
      </c>
      <c r="C2" s="3"/>
      <c r="D2" s="3"/>
      <c r="E2" s="3"/>
      <c r="F2" s="3"/>
      <c r="G2" s="3"/>
      <c r="H2" s="3"/>
      <c r="I2" s="3"/>
      <c r="J2" s="3"/>
      <c r="K2" s="3"/>
    </row>
    <row r="3" spans="2:11" x14ac:dyDescent="0.3">
      <c r="B3" s="24" t="s">
        <v>29</v>
      </c>
      <c r="C3" s="25" t="s">
        <v>30</v>
      </c>
      <c r="D3" s="25"/>
      <c r="E3" s="25" t="s">
        <v>31</v>
      </c>
      <c r="F3" s="25" t="s">
        <v>32</v>
      </c>
      <c r="G3" s="25" t="s">
        <v>33</v>
      </c>
      <c r="H3" s="25" t="s">
        <v>34</v>
      </c>
      <c r="I3" s="25" t="s">
        <v>35</v>
      </c>
      <c r="J3" s="25"/>
      <c r="K3" s="29" t="s">
        <v>36</v>
      </c>
    </row>
    <row r="4" spans="2:11" x14ac:dyDescent="0.3">
      <c r="B4" s="16" t="s">
        <v>37</v>
      </c>
      <c r="C4" s="4" t="s">
        <v>38</v>
      </c>
      <c r="D4" s="4"/>
      <c r="E4" s="4">
        <v>2</v>
      </c>
      <c r="F4" s="6">
        <f>(G4*25%)/12</f>
        <v>52.083333333333336</v>
      </c>
      <c r="G4" s="6">
        <v>2500</v>
      </c>
      <c r="H4" s="6">
        <f>E4*G4</f>
        <v>5000</v>
      </c>
      <c r="I4" s="6">
        <f>E4*F4*3</f>
        <v>312.5</v>
      </c>
      <c r="J4" s="6"/>
      <c r="K4" s="14">
        <f>H4-I4</f>
        <v>4687.5</v>
      </c>
    </row>
    <row r="5" spans="2:11" x14ac:dyDescent="0.3">
      <c r="B5" s="16" t="s">
        <v>39</v>
      </c>
      <c r="C5" s="4" t="s">
        <v>40</v>
      </c>
      <c r="D5" s="4"/>
      <c r="E5" s="4">
        <v>2</v>
      </c>
      <c r="F5" s="6">
        <f>(G5*25%)/12</f>
        <v>0.52083333333333337</v>
      </c>
      <c r="G5" s="6">
        <v>25</v>
      </c>
      <c r="H5" s="6">
        <f>E5*G5</f>
        <v>50</v>
      </c>
      <c r="I5" s="6">
        <f>E5*F5*3</f>
        <v>3.125</v>
      </c>
      <c r="J5" s="6"/>
      <c r="K5" s="14">
        <f>H5-I5</f>
        <v>46.875</v>
      </c>
    </row>
    <row r="6" spans="2:11" x14ac:dyDescent="0.3">
      <c r="B6" s="16"/>
      <c r="C6" s="4"/>
      <c r="D6" s="4"/>
      <c r="E6" s="4"/>
      <c r="F6" s="6"/>
      <c r="G6" s="6"/>
      <c r="H6" s="6"/>
      <c r="I6" s="6"/>
      <c r="J6" s="6"/>
      <c r="K6" s="14"/>
    </row>
    <row r="7" spans="2:11" x14ac:dyDescent="0.3">
      <c r="B7" s="16"/>
      <c r="C7" s="4"/>
      <c r="D7" s="4"/>
      <c r="E7" s="4"/>
      <c r="F7" s="6"/>
      <c r="G7" s="6"/>
      <c r="H7" s="6"/>
      <c r="I7" s="6"/>
      <c r="J7" s="6"/>
      <c r="K7" s="14"/>
    </row>
    <row r="8" spans="2:11" x14ac:dyDescent="0.3">
      <c r="B8" s="16"/>
      <c r="C8" s="4"/>
      <c r="D8" s="4"/>
      <c r="E8" s="4"/>
      <c r="F8" s="6"/>
      <c r="G8" s="6"/>
      <c r="H8" s="6"/>
      <c r="I8" s="6"/>
      <c r="J8" s="6"/>
      <c r="K8" s="14"/>
    </row>
    <row r="9" spans="2:11" x14ac:dyDescent="0.3">
      <c r="B9" s="16"/>
      <c r="C9" s="4"/>
      <c r="D9" s="4"/>
      <c r="E9" s="4"/>
      <c r="F9" s="6"/>
      <c r="G9" s="6"/>
      <c r="H9" s="6"/>
      <c r="I9" s="6"/>
      <c r="J9" s="6"/>
      <c r="K9" s="14"/>
    </row>
    <row r="10" spans="2:11" x14ac:dyDescent="0.3">
      <c r="B10" s="16"/>
      <c r="C10" s="4"/>
      <c r="D10" s="4"/>
      <c r="E10" s="4"/>
      <c r="F10" s="6"/>
      <c r="G10" s="6"/>
      <c r="H10" s="6"/>
      <c r="I10" s="6"/>
      <c r="J10" s="6"/>
      <c r="K10" s="14"/>
    </row>
    <row r="11" spans="2:11" x14ac:dyDescent="0.3">
      <c r="B11" s="16"/>
      <c r="C11" s="4"/>
      <c r="D11" s="4"/>
      <c r="E11" s="4"/>
      <c r="F11" s="6"/>
      <c r="G11" s="6"/>
      <c r="H11" s="6"/>
      <c r="I11" s="6"/>
      <c r="J11" s="6"/>
      <c r="K11" s="14"/>
    </row>
    <row r="12" spans="2:11" x14ac:dyDescent="0.3">
      <c r="B12" s="16"/>
      <c r="C12" s="4"/>
      <c r="D12" s="4"/>
      <c r="E12" s="4"/>
      <c r="F12" s="6"/>
      <c r="G12" s="6"/>
      <c r="H12" s="6"/>
      <c r="I12" s="6"/>
      <c r="J12" s="6"/>
      <c r="K12" s="14"/>
    </row>
    <row r="13" spans="2:11" x14ac:dyDescent="0.3">
      <c r="B13" s="16"/>
      <c r="C13" s="4"/>
      <c r="D13" s="4"/>
      <c r="E13" s="4"/>
      <c r="F13" s="6"/>
      <c r="G13" s="6"/>
      <c r="H13" s="6"/>
      <c r="I13" s="6"/>
      <c r="J13" s="6"/>
      <c r="K13" s="14"/>
    </row>
    <row r="14" spans="2:11" x14ac:dyDescent="0.3">
      <c r="B14" s="16"/>
      <c r="C14" s="4"/>
      <c r="D14" s="4"/>
      <c r="E14" s="4"/>
      <c r="F14" s="6"/>
      <c r="G14" s="6"/>
      <c r="H14" s="6"/>
      <c r="I14" s="6"/>
      <c r="J14" s="6"/>
      <c r="K14" s="14"/>
    </row>
    <row r="15" spans="2:11" x14ac:dyDescent="0.3">
      <c r="B15" s="16"/>
      <c r="C15" s="4"/>
      <c r="D15" s="4"/>
      <c r="E15" s="4"/>
      <c r="F15" s="6"/>
      <c r="G15" s="6"/>
      <c r="H15" s="6"/>
      <c r="I15" s="6"/>
      <c r="J15" s="6"/>
      <c r="K15" s="14"/>
    </row>
    <row r="16" spans="2:11" x14ac:dyDescent="0.3">
      <c r="B16" s="16"/>
      <c r="C16" s="4"/>
      <c r="D16" s="4"/>
      <c r="E16" s="4"/>
      <c r="F16" s="6"/>
      <c r="G16" s="6"/>
      <c r="H16" s="6"/>
      <c r="I16" s="6"/>
      <c r="J16" s="6"/>
      <c r="K16" s="14"/>
    </row>
    <row r="17" spans="2:11" x14ac:dyDescent="0.3">
      <c r="B17" s="26" t="s">
        <v>41</v>
      </c>
      <c r="C17" s="27"/>
      <c r="D17" s="27"/>
      <c r="E17" s="27">
        <f>SUM(E4:E16)</f>
        <v>4</v>
      </c>
      <c r="F17" s="28">
        <f>SUM(F4:F16)</f>
        <v>52.604166666666671</v>
      </c>
      <c r="G17" s="28">
        <f>SUM(G4:G16)</f>
        <v>2525</v>
      </c>
      <c r="H17" s="28">
        <f>SUM(H4:H16)</f>
        <v>5050</v>
      </c>
      <c r="I17" s="28">
        <f>SUM(I4:I16)</f>
        <v>315.625</v>
      </c>
      <c r="J17" s="28"/>
      <c r="K17" s="30">
        <f>SUM(K4:K16)</f>
        <v>4734.375</v>
      </c>
    </row>
    <row r="19" spans="2:11" x14ac:dyDescent="0.3">
      <c r="B19" s="3" t="s">
        <v>42</v>
      </c>
    </row>
    <row r="21" spans="2:11" x14ac:dyDescent="0.3">
      <c r="B21" t="s">
        <v>43</v>
      </c>
      <c r="C21">
        <v>0</v>
      </c>
      <c r="D21">
        <v>1</v>
      </c>
      <c r="E21">
        <v>0</v>
      </c>
    </row>
    <row r="22" spans="2:11" x14ac:dyDescent="0.3">
      <c r="B22" t="s">
        <v>44</v>
      </c>
      <c r="C22">
        <v>0</v>
      </c>
      <c r="D22">
        <v>1</v>
      </c>
      <c r="E22">
        <v>0</v>
      </c>
    </row>
    <row r="23" spans="2:11" x14ac:dyDescent="0.3">
      <c r="B23" t="s">
        <v>45</v>
      </c>
      <c r="C23">
        <v>0</v>
      </c>
      <c r="D23">
        <v>1</v>
      </c>
      <c r="E23">
        <v>0</v>
      </c>
    </row>
    <row r="24" spans="2:11" x14ac:dyDescent="0.3">
      <c r="B24" t="s">
        <v>46</v>
      </c>
      <c r="C24">
        <v>0</v>
      </c>
      <c r="D24">
        <v>1</v>
      </c>
      <c r="E24">
        <v>0</v>
      </c>
    </row>
    <row r="25" spans="2:11" x14ac:dyDescent="0.3">
      <c r="B25" t="s">
        <v>47</v>
      </c>
      <c r="C25">
        <v>0</v>
      </c>
      <c r="D25">
        <v>1</v>
      </c>
      <c r="E25">
        <v>0</v>
      </c>
    </row>
    <row r="26" spans="2:11" x14ac:dyDescent="0.3">
      <c r="B26" t="s">
        <v>48</v>
      </c>
      <c r="E26">
        <f>SUM(E21:E25)</f>
        <v>0</v>
      </c>
    </row>
    <row r="28" spans="2:11" x14ac:dyDescent="0.3">
      <c r="B28" s="3" t="s">
        <v>49</v>
      </c>
    </row>
    <row r="29" spans="2:11" x14ac:dyDescent="0.3">
      <c r="B29" s="24" t="s">
        <v>50</v>
      </c>
      <c r="C29" s="25" t="s">
        <v>51</v>
      </c>
      <c r="D29" s="25"/>
      <c r="E29" s="25" t="s">
        <v>52</v>
      </c>
      <c r="F29" s="25"/>
      <c r="G29" s="29" t="s">
        <v>53</v>
      </c>
    </row>
    <row r="30" spans="2:11" x14ac:dyDescent="0.3">
      <c r="B30" s="16" t="s">
        <v>54</v>
      </c>
      <c r="C30" s="4">
        <v>1</v>
      </c>
      <c r="D30" s="4"/>
      <c r="E30" s="6">
        <v>5100</v>
      </c>
      <c r="F30" s="6"/>
      <c r="G30" s="14">
        <f>C30*E30</f>
        <v>5100</v>
      </c>
    </row>
    <row r="31" spans="2:11" x14ac:dyDescent="0.3">
      <c r="B31" s="16"/>
      <c r="C31" s="4"/>
      <c r="D31" s="4"/>
      <c r="E31" s="6"/>
      <c r="F31" s="6"/>
      <c r="G31" s="14"/>
    </row>
    <row r="32" spans="2:11" x14ac:dyDescent="0.3">
      <c r="B32" s="16"/>
      <c r="C32" s="4"/>
      <c r="D32" s="4"/>
      <c r="E32" s="6"/>
      <c r="F32" s="6"/>
      <c r="G32" s="14"/>
    </row>
    <row r="33" spans="2:8" x14ac:dyDescent="0.3">
      <c r="B33" s="26" t="s">
        <v>55</v>
      </c>
      <c r="C33" s="27"/>
      <c r="D33" s="27"/>
      <c r="E33" s="28"/>
      <c r="F33" s="28"/>
      <c r="G33" s="30">
        <f>SUM(G30:G32)</f>
        <v>5100</v>
      </c>
    </row>
    <row r="35" spans="2:8" x14ac:dyDescent="0.3">
      <c r="B35" s="3" t="s">
        <v>56</v>
      </c>
    </row>
    <row r="36" spans="2:8" x14ac:dyDescent="0.3">
      <c r="B36" s="24"/>
      <c r="C36" s="25"/>
      <c r="D36" s="25"/>
      <c r="E36" s="25"/>
      <c r="F36" s="25"/>
      <c r="G36" s="25"/>
      <c r="H36" s="29"/>
    </row>
    <row r="37" spans="2:8" x14ac:dyDescent="0.3">
      <c r="B37" s="16" t="s">
        <v>57</v>
      </c>
      <c r="C37" s="4"/>
      <c r="D37" s="4"/>
      <c r="E37" s="4"/>
      <c r="F37" s="4"/>
      <c r="G37" s="6">
        <v>200</v>
      </c>
      <c r="H37" s="14">
        <v>200</v>
      </c>
    </row>
    <row r="38" spans="2:8" x14ac:dyDescent="0.3">
      <c r="B38" s="16" t="s">
        <v>58</v>
      </c>
      <c r="C38" s="4"/>
      <c r="D38" s="4"/>
      <c r="E38" s="4"/>
      <c r="F38" s="4"/>
      <c r="G38" s="6">
        <v>23</v>
      </c>
      <c r="H38" s="14">
        <v>55</v>
      </c>
    </row>
    <row r="39" spans="2:8" x14ac:dyDescent="0.3">
      <c r="B39" s="16" t="s">
        <v>59</v>
      </c>
      <c r="C39" s="4"/>
      <c r="D39" s="4"/>
      <c r="E39" s="4"/>
      <c r="F39" s="4"/>
      <c r="G39" s="6">
        <v>150</v>
      </c>
      <c r="H39" s="14">
        <v>150</v>
      </c>
    </row>
    <row r="40" spans="2:8" x14ac:dyDescent="0.3">
      <c r="B40" s="16" t="s">
        <v>60</v>
      </c>
      <c r="C40" s="4"/>
      <c r="D40" s="4"/>
      <c r="E40" s="4"/>
      <c r="F40" s="4"/>
      <c r="G40" s="6">
        <v>300</v>
      </c>
      <c r="H40" s="14">
        <v>300</v>
      </c>
    </row>
    <row r="41" spans="2:8" x14ac:dyDescent="0.3">
      <c r="B41" s="16" t="s">
        <v>61</v>
      </c>
      <c r="C41" s="4"/>
      <c r="D41" s="4"/>
      <c r="E41" s="4"/>
      <c r="F41" s="4"/>
      <c r="G41" s="6">
        <v>0</v>
      </c>
      <c r="H41" s="14">
        <v>0</v>
      </c>
    </row>
    <row r="42" spans="2:8" x14ac:dyDescent="0.3">
      <c r="B42" s="26" t="s">
        <v>62</v>
      </c>
      <c r="C42" s="27"/>
      <c r="D42" s="27"/>
      <c r="E42" s="27"/>
      <c r="F42" s="27"/>
      <c r="G42" s="28">
        <f>SUM(G37:G41)</f>
        <v>673</v>
      </c>
      <c r="H42" s="30">
        <f>SUM(H37:H41)</f>
        <v>705</v>
      </c>
    </row>
    <row r="44" spans="2:8" x14ac:dyDescent="0.3">
      <c r="B44" s="31" t="s">
        <v>63</v>
      </c>
      <c r="C44" s="25"/>
      <c r="D44" s="29"/>
    </row>
    <row r="45" spans="2:8" x14ac:dyDescent="0.3">
      <c r="B45" s="16" t="s">
        <v>64</v>
      </c>
      <c r="C45" s="4"/>
      <c r="D45" s="14">
        <f>G33</f>
        <v>5100</v>
      </c>
    </row>
    <row r="46" spans="2:8" x14ac:dyDescent="0.3">
      <c r="B46" s="16" t="s">
        <v>65</v>
      </c>
      <c r="C46" s="4"/>
      <c r="D46" s="14">
        <f>H42</f>
        <v>705</v>
      </c>
    </row>
    <row r="47" spans="2:8" x14ac:dyDescent="0.3">
      <c r="B47" s="16" t="s">
        <v>66</v>
      </c>
      <c r="C47" s="4"/>
      <c r="D47" s="14">
        <f>I17</f>
        <v>315.625</v>
      </c>
    </row>
    <row r="48" spans="2:8" x14ac:dyDescent="0.3">
      <c r="B48" s="16" t="s">
        <v>67</v>
      </c>
      <c r="C48" s="4"/>
      <c r="D48" s="14">
        <v>0</v>
      </c>
    </row>
    <row r="49" spans="2:4" x14ac:dyDescent="0.3">
      <c r="B49" s="32" t="s">
        <v>68</v>
      </c>
      <c r="C49" s="33"/>
      <c r="D49" s="34">
        <f>SUM(D45:D48)</f>
        <v>6120.625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0956-E4F8-4CF2-B2BC-D751DA497FAC}">
  <dimension ref="B3:I27"/>
  <sheetViews>
    <sheetView tabSelected="1" workbookViewId="0"/>
  </sheetViews>
  <sheetFormatPr defaultRowHeight="14.4" x14ac:dyDescent="0.3"/>
  <cols>
    <col min="2" max="2" width="39.44140625" bestFit="1" customWidth="1"/>
    <col min="3" max="3" width="12.77734375" bestFit="1" customWidth="1"/>
    <col min="4" max="4" width="20.44140625" bestFit="1" customWidth="1"/>
    <col min="5" max="5" width="15.44140625" bestFit="1" customWidth="1"/>
    <col min="6" max="6" width="18.44140625" bestFit="1" customWidth="1"/>
    <col min="7" max="8" width="12.77734375" bestFit="1" customWidth="1"/>
    <col min="9" max="9" width="11.6640625" bestFit="1" customWidth="1"/>
  </cols>
  <sheetData>
    <row r="3" spans="2:9" x14ac:dyDescent="0.3">
      <c r="B3" s="35" t="s">
        <v>80</v>
      </c>
      <c r="C3" s="36" t="s">
        <v>81</v>
      </c>
      <c r="D3" s="36" t="s">
        <v>82</v>
      </c>
      <c r="E3" s="36" t="s">
        <v>83</v>
      </c>
      <c r="F3" s="36" t="s">
        <v>84</v>
      </c>
      <c r="G3" s="36" t="s">
        <v>85</v>
      </c>
      <c r="H3" s="39" t="s">
        <v>86</v>
      </c>
    </row>
    <row r="4" spans="2:9" x14ac:dyDescent="0.3">
      <c r="B4" s="16"/>
      <c r="C4" s="4"/>
      <c r="D4" s="4"/>
      <c r="E4" s="4"/>
      <c r="F4" s="4"/>
      <c r="G4" s="4"/>
      <c r="H4" s="22"/>
    </row>
    <row r="5" spans="2:9" x14ac:dyDescent="0.3">
      <c r="B5" s="16" t="s">
        <v>79</v>
      </c>
      <c r="C5" s="6">
        <v>0</v>
      </c>
      <c r="D5" s="6">
        <f>H16</f>
        <v>65600</v>
      </c>
      <c r="E5" s="6">
        <f>D5+D5*6%</f>
        <v>69536</v>
      </c>
      <c r="F5" s="6">
        <f>E5+E5*6%</f>
        <v>73708.160000000003</v>
      </c>
      <c r="G5" s="6">
        <f>F5+F5*6%</f>
        <v>78130.649600000004</v>
      </c>
      <c r="H5" s="14">
        <f>G5+G5*6%</f>
        <v>82818.488576000003</v>
      </c>
    </row>
    <row r="6" spans="2:9" x14ac:dyDescent="0.3">
      <c r="B6" s="16" t="s">
        <v>90</v>
      </c>
      <c r="C6" s="6">
        <f>F16</f>
        <v>19668.88271169355</v>
      </c>
      <c r="D6" s="6">
        <f>D8+D9</f>
        <v>8800</v>
      </c>
      <c r="E6" s="6">
        <f>E8+E9</f>
        <v>8800</v>
      </c>
      <c r="F6" s="6">
        <f>F8+F9</f>
        <v>8800</v>
      </c>
      <c r="G6" s="6">
        <f>G8+G9</f>
        <v>8800</v>
      </c>
      <c r="H6" s="14">
        <f>H8+H9</f>
        <v>8800</v>
      </c>
    </row>
    <row r="7" spans="2:9" x14ac:dyDescent="0.3">
      <c r="B7" s="16" t="s">
        <v>87</v>
      </c>
      <c r="C7" s="6">
        <f>F16</f>
        <v>19668.88271169355</v>
      </c>
      <c r="D7" s="6">
        <v>0</v>
      </c>
      <c r="E7" s="6">
        <v>0</v>
      </c>
      <c r="F7" s="6">
        <v>0</v>
      </c>
      <c r="G7" s="6">
        <v>0</v>
      </c>
      <c r="H7" s="14">
        <v>0</v>
      </c>
    </row>
    <row r="8" spans="2:9" x14ac:dyDescent="0.3">
      <c r="B8" s="16" t="s">
        <v>88</v>
      </c>
      <c r="C8" s="6">
        <v>0</v>
      </c>
      <c r="D8" s="6">
        <f>$D$14*12+$D$16*12</f>
        <v>7800</v>
      </c>
      <c r="E8" s="6">
        <f>$D$14*12+$D$16*12</f>
        <v>7800</v>
      </c>
      <c r="F8" s="6">
        <f>$D$14*12+$D$16*12</f>
        <v>7800</v>
      </c>
      <c r="G8" s="6">
        <f>$D$14*12+$D$16*12</f>
        <v>7800</v>
      </c>
      <c r="H8" s="14">
        <f>$D$14*12+$D$16*12</f>
        <v>7800</v>
      </c>
    </row>
    <row r="9" spans="2:9" x14ac:dyDescent="0.3">
      <c r="B9" s="16" t="s">
        <v>89</v>
      </c>
      <c r="C9" s="6">
        <v>0</v>
      </c>
      <c r="D9" s="6">
        <v>1000</v>
      </c>
      <c r="E9" s="6">
        <v>1000</v>
      </c>
      <c r="F9" s="6">
        <v>1000</v>
      </c>
      <c r="G9" s="6">
        <v>1000</v>
      </c>
      <c r="H9" s="14">
        <v>1000</v>
      </c>
    </row>
    <row r="10" spans="2:9" x14ac:dyDescent="0.3">
      <c r="B10" s="37" t="s">
        <v>91</v>
      </c>
      <c r="C10" s="38">
        <f>C5-C6-C8-C9</f>
        <v>-19668.88271169355</v>
      </c>
      <c r="D10" s="38">
        <f>D5-D6</f>
        <v>56800</v>
      </c>
      <c r="E10" s="38">
        <f>E5-E6</f>
        <v>60736</v>
      </c>
      <c r="F10" s="38">
        <f>F5-F6</f>
        <v>64908.160000000003</v>
      </c>
      <c r="G10" s="38">
        <f>G5-G6</f>
        <v>69330.649600000004</v>
      </c>
      <c r="H10" s="40">
        <f>H5-H6</f>
        <v>74018.488576000003</v>
      </c>
    </row>
    <row r="12" spans="2:9" x14ac:dyDescent="0.3">
      <c r="B12" s="41" t="s">
        <v>92</v>
      </c>
      <c r="C12" s="42">
        <f>C10+NPV(F12,D10:H10)</f>
        <v>150527.34762105014</v>
      </c>
      <c r="E12" t="s">
        <v>71</v>
      </c>
      <c r="F12" s="2">
        <v>0.25</v>
      </c>
    </row>
    <row r="13" spans="2:9" x14ac:dyDescent="0.3">
      <c r="B13" s="37" t="s">
        <v>93</v>
      </c>
      <c r="C13" s="43">
        <f>IRR(C10:H10)</f>
        <v>2.9527302493819398</v>
      </c>
    </row>
    <row r="14" spans="2:9" x14ac:dyDescent="0.3">
      <c r="D14" s="45">
        <v>250</v>
      </c>
      <c r="E14" s="46">
        <f>'Hoja de costos'!W10</f>
        <v>9397.2311827957001</v>
      </c>
      <c r="F14" s="46">
        <f>'Recursos de desarrollo'!D49</f>
        <v>6120.625</v>
      </c>
      <c r="G14" s="46">
        <f>SUM(E14:F14)</f>
        <v>15517.8561827957</v>
      </c>
      <c r="H14" s="46">
        <f>G14*H15</f>
        <v>4655.3568548387102</v>
      </c>
      <c r="I14" s="47">
        <v>0.18</v>
      </c>
    </row>
    <row r="15" spans="2:9" x14ac:dyDescent="0.3">
      <c r="D15" s="16" t="s">
        <v>69</v>
      </c>
      <c r="E15" s="4" t="s">
        <v>1</v>
      </c>
      <c r="F15" s="4" t="s">
        <v>74</v>
      </c>
      <c r="G15" s="4" t="s">
        <v>75</v>
      </c>
      <c r="H15" s="5">
        <v>0.3</v>
      </c>
      <c r="I15" s="22" t="s">
        <v>72</v>
      </c>
    </row>
    <row r="16" spans="2:9" x14ac:dyDescent="0.3">
      <c r="D16" s="44">
        <v>400</v>
      </c>
      <c r="E16" s="6">
        <f>G16-G16*5%</f>
        <v>19164.55238575269</v>
      </c>
      <c r="F16" s="6">
        <f>(G16+E16)/2</f>
        <v>19668.88271169355</v>
      </c>
      <c r="G16" s="6">
        <f>G14+H14</f>
        <v>20173.21303763441</v>
      </c>
      <c r="H16" s="6">
        <f>I16-I16*I14</f>
        <v>65600</v>
      </c>
      <c r="I16" s="14">
        <v>80000</v>
      </c>
    </row>
    <row r="17" spans="2:9" x14ac:dyDescent="0.3">
      <c r="D17" s="26" t="s">
        <v>70</v>
      </c>
      <c r="E17" s="27" t="s">
        <v>77</v>
      </c>
      <c r="F17" s="27" t="s">
        <v>78</v>
      </c>
      <c r="G17" s="27" t="s">
        <v>76</v>
      </c>
      <c r="H17" s="27" t="s">
        <v>79</v>
      </c>
      <c r="I17" s="48" t="s">
        <v>73</v>
      </c>
    </row>
    <row r="19" spans="2:9" x14ac:dyDescent="0.3">
      <c r="B19" t="s">
        <v>94</v>
      </c>
    </row>
    <row r="20" spans="2:9" x14ac:dyDescent="0.3">
      <c r="B20" s="24"/>
      <c r="C20" s="25" t="s">
        <v>81</v>
      </c>
      <c r="D20" s="25" t="s">
        <v>82</v>
      </c>
      <c r="E20" s="25" t="s">
        <v>83</v>
      </c>
      <c r="F20" s="25" t="s">
        <v>84</v>
      </c>
      <c r="G20" s="25" t="s">
        <v>85</v>
      </c>
      <c r="H20" s="29" t="s">
        <v>86</v>
      </c>
    </row>
    <row r="21" spans="2:9" x14ac:dyDescent="0.3">
      <c r="B21" s="16"/>
      <c r="C21" s="4"/>
      <c r="D21" s="4"/>
      <c r="E21" s="4"/>
      <c r="F21" s="4"/>
      <c r="G21" s="4"/>
      <c r="H21" s="22"/>
    </row>
    <row r="22" spans="2:9" x14ac:dyDescent="0.3">
      <c r="B22" s="16"/>
      <c r="C22" s="4"/>
      <c r="D22" s="4"/>
      <c r="E22" s="4"/>
      <c r="F22" s="4"/>
      <c r="G22" s="4"/>
      <c r="H22" s="22"/>
    </row>
    <row r="23" spans="2:9" x14ac:dyDescent="0.3">
      <c r="B23" s="16"/>
      <c r="C23" s="4"/>
      <c r="D23" s="4"/>
      <c r="E23" s="4"/>
      <c r="F23" s="4"/>
      <c r="G23" s="4"/>
      <c r="H23" s="22"/>
    </row>
    <row r="24" spans="2:9" x14ac:dyDescent="0.3">
      <c r="B24" s="16"/>
      <c r="C24" s="4"/>
      <c r="D24" s="4"/>
      <c r="E24" s="4"/>
      <c r="F24" s="4"/>
      <c r="G24" s="4"/>
      <c r="H24" s="22"/>
    </row>
    <row r="25" spans="2:9" x14ac:dyDescent="0.3">
      <c r="B25" s="16"/>
      <c r="C25" s="4"/>
      <c r="D25" s="4"/>
      <c r="E25" s="4"/>
      <c r="F25" s="4"/>
      <c r="G25" s="4"/>
      <c r="H25" s="22"/>
    </row>
    <row r="26" spans="2:9" x14ac:dyDescent="0.3">
      <c r="B26" s="16"/>
      <c r="C26" s="4"/>
      <c r="D26" s="4"/>
      <c r="E26" s="4"/>
      <c r="F26" s="4"/>
      <c r="G26" s="4"/>
      <c r="H26" s="22"/>
    </row>
    <row r="27" spans="2:9" x14ac:dyDescent="0.3">
      <c r="B27" s="19" t="s">
        <v>95</v>
      </c>
      <c r="C27" s="20">
        <f>C10</f>
        <v>-19668.88271169355</v>
      </c>
      <c r="D27" s="20">
        <f>C27+D10</f>
        <v>37131.11728830645</v>
      </c>
      <c r="E27" s="20">
        <f>D27+E10</f>
        <v>97867.117288306443</v>
      </c>
      <c r="F27" s="20">
        <f>E27+F10</f>
        <v>162775.27728830645</v>
      </c>
      <c r="G27" s="20">
        <f>F27+G10</f>
        <v>232105.92688830645</v>
      </c>
      <c r="H27" s="23">
        <f>G27+H10</f>
        <v>306124.41546430648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 de costos</vt:lpstr>
      <vt:lpstr>Recursos de desarrollo</vt:lpstr>
      <vt:lpstr>TIR-VAN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2026-09-24T04:27:05Z</dcterms:created>
  <dcterms:modified xsi:type="dcterms:W3CDTF">2026-09-24T04:27:06Z</dcterms:modified>
</cp:coreProperties>
</file>